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t Sy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<sst xmlns="http://schemas.openxmlformats.org/spreadsheetml/2006/main" count="34" uniqueCount="24">
  <si>
    <t xml:space="preserve">Articles Of Syndication</t>
  </si>
  <si>
    <t xml:space="preserve">[Coin / Mind / Hand]</t>
  </si>
  <si>
    <t xml:space="preserve">Suggested Percentages</t>
  </si>
  <si>
    <t xml:space="preserve">If 33% Hand </t>
  </si>
  <si>
    <t xml:space="preserve">is $X/month</t>
  </si>
  <si>
    <t xml:space="preserve">@ Y hrs/wk</t>
  </si>
  <si>
    <t xml:space="preserve">If Ark Rent is $Y</t>
  </si>
  <si>
    <t xml:space="preserve">Industry</t>
  </si>
  <si>
    <t xml:space="preserve">Coin %</t>
  </si>
  <si>
    <t xml:space="preserve">Mind %</t>
  </si>
  <si>
    <t xml:space="preserve">Hand %</t>
  </si>
  <si>
    <t xml:space="preserve">Total %</t>
  </si>
  <si>
    <t xml:space="preserve">...Then</t>
  </si>
  <si>
    <t xml:space="preserve">X% Hand is..</t>
  </si>
  <si>
    <t xml:space="preserve">Hand is X% Rent</t>
  </si>
  <si>
    <t xml:space="preserve">Restaurant</t>
  </si>
  <si>
    <t xml:space="preserve">Hotel</t>
  </si>
  <si>
    <t xml:space="preserve">Metal Foundry</t>
  </si>
  <si>
    <t xml:space="preserve">Food Processing</t>
  </si>
  <si>
    <t xml:space="preserve">Farming</t>
  </si>
  <si>
    <t xml:space="preserve">School</t>
  </si>
  <si>
    <t xml:space="preserve">Nursery</t>
  </si>
  <si>
    <t xml:space="preserve">Construction</t>
  </si>
  <si>
    <t xml:space="preserve">General Manufacturing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</si>
</sst>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$-409]#,##0.00;[RED]\-[$$-409]#,##0.00"/>
    <numFmt numFmtId="166" formatCode="[$$-409]#,##0;[RED]\-[$$-409]#,##0"/>
    <numFmt numFmtId="167" formatCode="0%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i val="true"/>
      <sz val="10"/>
      <name val="Arial"/>
      <family val="2"/>
      <charset val="1"/>
    </font>
    <font>
      <b val="true"/>
      <u val="single"/>
      <sz val="10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00CC33"/>
        <bgColor rgb="FF339966"/>
      </patternFill>
    </fill>
    <fill>
      <patternFill patternType="solid">
        <fgColor rgb="FFFF3333"/>
        <bgColor rgb="FFFF0000"/>
      </patternFill>
    </fill>
    <fill>
      <patternFill patternType="solid">
        <fgColor rgb="FFFF0000"/>
        <bgColor rgb="FFFF3333"/>
      </patternFill>
    </fill>
    <fill>
      <patternFill patternType="solid">
        <fgColor rgb="FFFFFFFF"/>
        <bgColor rgb="FFFFFFCC"/>
      </patternFill>
    </fill>
    <fill>
      <patternFill patternType="solid">
        <fgColor rgb="FF000000"/>
        <bgColor rgb="FF003300"/>
      </patternFill>
    </fill>
    <fill>
      <patternFill patternType="solid">
        <fgColor rgb="FFFF9900"/>
        <bgColor rgb="FFFFCC00"/>
      </patternFill>
    </fill>
    <fill>
      <patternFill patternType="solid">
        <fgColor rgb="FFFFFF00"/>
        <bgColor rgb="FFFFFF00"/>
      </patternFill>
    </fill>
    <fill>
      <patternFill patternType="solid">
        <fgColor rgb="FFB2B2B2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4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7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8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Untitled1" xfId="20"/>
    <cellStyle name="Untitled2" xfId="21"/>
  </cellStyles>
  <dxfs count="2">
    <dxf>
      <font>
        <name val="Arial"/>
        <charset val="1"/>
        <family val="2"/>
        <color rgb="FFFFFFFF"/>
      </font>
      <fill>
        <patternFill>
          <bgColor rgb="FF00CC33"/>
        </patternFill>
      </fill>
    </dxf>
    <dxf>
      <font>
        <name val="Arial"/>
        <charset val="1"/>
        <family val="2"/>
        <color rgb="FFFFFFFF"/>
      </font>
      <fill>
        <patternFill>
          <bgColor rgb="FFFF3333"/>
        </patternFill>
      </fill>
    </dxf>
  </dxfs>
  <colors>
    <indexedColors>
      <rgbColor rgb="FF000000"/>
      <rgbColor rgb="FFFFFFFF"/>
      <rgbColor rgb="FFFF0000"/>
      <rgbColor rgb="FF00CC33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3333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E19" activeCellId="0" sqref="E19"/>
    </sheetView>
  </sheetViews>
  <sheetFormatPr defaultColWidth="11.5703125" defaultRowHeight="12.75" customHeight="false" zeroHeight="false" outlineLevelRow="0" outlineLevelCol="0"/>
  <cols>
    <col collapsed="false" customWidth="true" hidden="false" outlineLevel="0" max="1" min="1" style="1" width="22.76"/>
    <col collapsed="false" customWidth="true" hidden="false" outlineLevel="0" max="8" min="8" style="1" width="16.1"/>
    <col collapsed="false" customWidth="true" hidden="false" outlineLevel="0" max="9" min="9" style="1" width="20.51"/>
  </cols>
  <sheetData>
    <row r="1" customFormat="false" ht="12.75" hidden="false" customHeight="false" outlineLevel="0" collapsed="false">
      <c r="A1" s="2" t="s">
        <v>0</v>
      </c>
      <c r="B1" s="3" t="s">
        <v>1</v>
      </c>
      <c r="C1" s="4"/>
      <c r="D1" s="3" t="s">
        <v>2</v>
      </c>
      <c r="E1" s="4"/>
      <c r="F1" s="5" t="s">
        <v>3</v>
      </c>
      <c r="G1" s="6"/>
      <c r="H1" s="6"/>
      <c r="I1" s="6"/>
    </row>
    <row r="2" customFormat="false" ht="12.75" hidden="false" customHeight="false" outlineLevel="0" collapsed="false">
      <c r="F2" s="7" t="s">
        <v>4</v>
      </c>
      <c r="G2" s="6" t="s">
        <v>5</v>
      </c>
      <c r="H2" s="6" t="s">
        <v>6</v>
      </c>
      <c r="I2" s="6"/>
    </row>
    <row r="3" customFormat="false" ht="12.75" hidden="false" customHeight="false" outlineLevel="0" collapsed="false">
      <c r="F3" s="8" t="n">
        <v>1000</v>
      </c>
      <c r="G3" s="9" t="n">
        <v>20</v>
      </c>
      <c r="H3" s="10" t="n">
        <v>300</v>
      </c>
      <c r="I3" s="6"/>
    </row>
    <row r="4" customFormat="false" ht="12.75" hidden="false" customHeight="false" outlineLevel="0" collapsed="false">
      <c r="A4" s="11" t="s">
        <v>7</v>
      </c>
      <c r="B4" s="12" t="s">
        <v>8</v>
      </c>
      <c r="C4" s="13" t="s">
        <v>9</v>
      </c>
      <c r="D4" s="14" t="s">
        <v>10</v>
      </c>
      <c r="E4" s="15" t="s">
        <v>11</v>
      </c>
      <c r="F4" s="14" t="s">
        <v>12</v>
      </c>
      <c r="G4" s="16" t="s">
        <v>13</v>
      </c>
      <c r="H4" s="17" t="s">
        <v>14</v>
      </c>
      <c r="I4" s="18" t="s">
        <v>7</v>
      </c>
    </row>
    <row r="5" customFormat="false" ht="12.75" hidden="false" customHeight="false" outlineLevel="0" collapsed="false">
      <c r="A5" s="4" t="s">
        <v>15</v>
      </c>
      <c r="B5" s="19" t="n">
        <v>20</v>
      </c>
      <c r="C5" s="20" t="n">
        <v>20</v>
      </c>
      <c r="D5" s="21" t="n">
        <v>60</v>
      </c>
      <c r="E5" s="22" t="n">
        <f aca="false">SUM(B5:D5)</f>
        <v>100</v>
      </c>
      <c r="F5" s="23" t="n">
        <f aca="false">D7/33*$F$3</f>
        <v>303.030303030303</v>
      </c>
      <c r="G5" s="24" t="n">
        <f aca="false">$G$3/40*F5</f>
        <v>151.515151515152</v>
      </c>
      <c r="H5" s="25" t="n">
        <f aca="false">G5/$H$3</f>
        <v>0.505050505050505</v>
      </c>
      <c r="I5" s="6" t="s">
        <v>15</v>
      </c>
    </row>
    <row r="6" customFormat="false" ht="12.75" hidden="false" customHeight="false" outlineLevel="0" collapsed="false">
      <c r="A6" s="4" t="s">
        <v>16</v>
      </c>
      <c r="B6" s="19" t="n">
        <v>40</v>
      </c>
      <c r="C6" s="20" t="n">
        <v>20</v>
      </c>
      <c r="D6" s="21" t="n">
        <v>40</v>
      </c>
      <c r="E6" s="22" t="n">
        <f aca="false">SUM(B6:D6)</f>
        <v>100</v>
      </c>
      <c r="F6" s="23" t="n">
        <f aca="false">D8/33*$F$3</f>
        <v>909.090909090909</v>
      </c>
      <c r="G6" s="24" t="n">
        <f aca="false">$G$3/40*F6</f>
        <v>454.545454545455</v>
      </c>
      <c r="H6" s="25" t="n">
        <f aca="false">G6/$H$3</f>
        <v>1.51515151515152</v>
      </c>
      <c r="I6" s="6" t="s">
        <v>16</v>
      </c>
    </row>
    <row r="7" customFormat="false" ht="12.75" hidden="false" customHeight="false" outlineLevel="0" collapsed="false">
      <c r="A7" s="4" t="s">
        <v>17</v>
      </c>
      <c r="B7" s="19" t="n">
        <v>50</v>
      </c>
      <c r="C7" s="20" t="n">
        <v>40</v>
      </c>
      <c r="D7" s="21" t="n">
        <v>10</v>
      </c>
      <c r="E7" s="22" t="n">
        <f aca="false">SUM(B7:D7)</f>
        <v>100</v>
      </c>
      <c r="F7" s="23" t="n">
        <f aca="false">D9/33*$F$3</f>
        <v>1212.12121212121</v>
      </c>
      <c r="G7" s="24" t="n">
        <f aca="false">$G$3/40*F7</f>
        <v>606.060606060606</v>
      </c>
      <c r="H7" s="25" t="n">
        <f aca="false">G7/$H$3</f>
        <v>2.02020202020202</v>
      </c>
      <c r="I7" s="6" t="s">
        <v>17</v>
      </c>
    </row>
    <row r="8" customFormat="false" ht="12.75" hidden="false" customHeight="false" outlineLevel="0" collapsed="false">
      <c r="A8" s="4" t="s">
        <v>18</v>
      </c>
      <c r="B8" s="19" t="n">
        <v>40</v>
      </c>
      <c r="C8" s="20" t="n">
        <v>30</v>
      </c>
      <c r="D8" s="21" t="n">
        <v>30</v>
      </c>
      <c r="E8" s="22" t="n">
        <f aca="false">SUM(B8:D8)</f>
        <v>100</v>
      </c>
      <c r="F8" s="23" t="n">
        <f aca="false">D10/33*$F$3</f>
        <v>1818.18181818182</v>
      </c>
      <c r="G8" s="24" t="n">
        <f aca="false">$G$3/40*F8</f>
        <v>909.090909090909</v>
      </c>
      <c r="H8" s="25" t="n">
        <f aca="false">G8/$H$3</f>
        <v>3.03030303030303</v>
      </c>
      <c r="I8" s="6" t="s">
        <v>18</v>
      </c>
    </row>
    <row r="9" customFormat="false" ht="12.75" hidden="false" customHeight="false" outlineLevel="0" collapsed="false">
      <c r="A9" s="4" t="s">
        <v>19</v>
      </c>
      <c r="B9" s="19" t="n">
        <v>30</v>
      </c>
      <c r="C9" s="20" t="n">
        <v>30</v>
      </c>
      <c r="D9" s="21" t="n">
        <v>40</v>
      </c>
      <c r="E9" s="22" t="n">
        <f aca="false">SUM(B9:D9)</f>
        <v>100</v>
      </c>
      <c r="F9" s="23" t="n">
        <f aca="false">D11/33*$F$3</f>
        <v>2424.24242424242</v>
      </c>
      <c r="G9" s="24" t="n">
        <f aca="false">$G$3/40*F9</f>
        <v>1212.12121212121</v>
      </c>
      <c r="H9" s="25" t="n">
        <f aca="false">G9/$H$3</f>
        <v>4.04040404040404</v>
      </c>
      <c r="I9" s="6" t="s">
        <v>19</v>
      </c>
    </row>
    <row r="10" customFormat="false" ht="12.75" hidden="false" customHeight="false" outlineLevel="0" collapsed="false">
      <c r="A10" s="4" t="s">
        <v>20</v>
      </c>
      <c r="B10" s="19" t="n">
        <v>10</v>
      </c>
      <c r="C10" s="20" t="n">
        <v>30</v>
      </c>
      <c r="D10" s="21" t="n">
        <v>60</v>
      </c>
      <c r="E10" s="22" t="n">
        <f aca="false">SUM(B10:D10)</f>
        <v>100</v>
      </c>
      <c r="F10" s="23" t="n">
        <f aca="false">D12/33*$F$3</f>
        <v>1515.15151515152</v>
      </c>
      <c r="G10" s="24" t="n">
        <f aca="false">$G$3/40*F10</f>
        <v>757.575757575758</v>
      </c>
      <c r="H10" s="25" t="n">
        <f aca="false">G10/$H$3</f>
        <v>2.52525252525253</v>
      </c>
      <c r="I10" s="6" t="s">
        <v>20</v>
      </c>
    </row>
    <row r="11" customFormat="false" ht="12.75" hidden="false" customHeight="false" outlineLevel="0" collapsed="false">
      <c r="A11" s="4" t="s">
        <v>21</v>
      </c>
      <c r="B11" s="19" t="n">
        <v>10</v>
      </c>
      <c r="C11" s="20" t="n">
        <v>10</v>
      </c>
      <c r="D11" s="21" t="n">
        <v>80</v>
      </c>
      <c r="E11" s="22" t="n">
        <f aca="false">SUM(B11:D11)</f>
        <v>100</v>
      </c>
      <c r="F11" s="23" t="n">
        <f aca="false">D13/33*$F$3</f>
        <v>909.090909090909</v>
      </c>
      <c r="G11" s="24" t="n">
        <f aca="false">$G$3/40*F11</f>
        <v>454.545454545455</v>
      </c>
      <c r="H11" s="25" t="n">
        <f aca="false">G11/$H$3</f>
        <v>1.51515151515152</v>
      </c>
      <c r="I11" s="6" t="s">
        <v>21</v>
      </c>
    </row>
    <row r="12" customFormat="false" ht="12.75" hidden="false" customHeight="false" outlineLevel="0" collapsed="false">
      <c r="A12" s="4" t="s">
        <v>22</v>
      </c>
      <c r="B12" s="19" t="n">
        <v>20</v>
      </c>
      <c r="C12" s="20" t="n">
        <v>30</v>
      </c>
      <c r="D12" s="21" t="n">
        <v>50</v>
      </c>
      <c r="E12" s="22" t="n">
        <f aca="false">SUM(B12:D12)</f>
        <v>100</v>
      </c>
      <c r="F12" s="23" t="n">
        <f aca="false">D12/33*$F$3</f>
        <v>1515.15151515152</v>
      </c>
      <c r="G12" s="24" t="n">
        <f aca="false">$G$3/40*F12</f>
        <v>757.575757575758</v>
      </c>
      <c r="H12" s="25" t="n">
        <f aca="false">G12/$H$3</f>
        <v>2.52525252525253</v>
      </c>
      <c r="I12" s="6" t="s">
        <v>22</v>
      </c>
    </row>
    <row r="13" customFormat="false" ht="12.75" hidden="false" customHeight="false" outlineLevel="0" collapsed="false">
      <c r="A13" s="4" t="s">
        <v>23</v>
      </c>
      <c r="B13" s="19" t="n">
        <v>30</v>
      </c>
      <c r="C13" s="20" t="n">
        <v>40</v>
      </c>
      <c r="D13" s="21" t="n">
        <v>30</v>
      </c>
      <c r="E13" s="22" t="n">
        <f aca="false">SUM(B13:D13)</f>
        <v>100</v>
      </c>
      <c r="F13" s="23" t="n">
        <f aca="false">D13/33*$F$3</f>
        <v>909.090909090909</v>
      </c>
      <c r="G13" s="24" t="n">
        <f aca="false">$G$3/40*F13</f>
        <v>454.545454545455</v>
      </c>
      <c r="H13" s="25" t="n">
        <f aca="false">G13/$H$3</f>
        <v>1.51515151515152</v>
      </c>
      <c r="I13" s="6" t="s">
        <v>23</v>
      </c>
    </row>
  </sheetData>
  <conditionalFormatting sqref="A5:A13 C1 E1 G1:H2 I1:I3 I5:I13">
    <cfRule type="cellIs" priority="2" operator="equal" aboveAverage="0" equalAverage="0" bottom="0" percent="0" rank="0" text="" dxfId="0">
      <formula>"Y"</formula>
    </cfRule>
    <cfRule type="cellIs" priority="3" operator="equal" aboveAverage="0" equalAverage="0" bottom="0" percent="0" rank="0" text="" dxfId="1">
      <formula>"N"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9473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2020-03-31T15:06:11Z</dcterms:created>
  <dc:creator/>
  <dc:description/>
  <dc:language>en-US</dc:language>
  <cp:lastModifiedBy/>
  <dcterms:modified xsi:type="dcterms:W3CDTF">2026-03-04T09:22:24Z</dcterms:modified>
  <cp:revision>486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