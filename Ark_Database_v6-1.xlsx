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" sheetId="1" state="visible" r:id="rId3"/>
    <sheet name="Charity" sheetId="2" state="visible" r:id="rId4"/>
    <sheet name="Prop" sheetId="3" state="visible" r:id="rId5"/>
    <sheet name="Tax" sheetId="4" state="visible" r:id="rId6"/>
    <sheet name="Bonds" sheetId="5" state="visible" r:id="rId7"/>
    <sheet name="Councils" sheetId="6" state="visible" r:id="rId8"/>
    <sheet name="Criminal Record" sheetId="7" state="visible" r:id="rId9"/>
    <sheet name="Crime Description" sheetId="8" state="visible" r:id="rId10"/>
    <sheet name="Jury" sheetId="9" state="visible" r:id="rId11"/>
    <sheet name="Cal" sheetId="10" state="visible" r:id="rId12"/>
    <sheet name="Trans" sheetId="11" state="visible" r:id="rId13"/>
    <sheet name="Elections" sheetId="12" state="visible" r:id="rId14"/>
    <sheet name="Gov Employees" sheetId="13" state="visible" r:id="rId15"/>
    <sheet name="Budget History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<sst xmlns="http://schemas.openxmlformats.org/spreadsheetml/2006/main" count="1479" uniqueCount="678">
  <si>
    <t xml:space="preserve">Resident List v6 </t>
  </si>
  <si>
    <t xml:space="preserve">Res #</t>
  </si>
  <si>
    <t xml:space="preserve">Password</t>
  </si>
  <si>
    <t xml:space="preserve">E-Mail</t>
  </si>
  <si>
    <t xml:space="preserve">Last Name</t>
  </si>
  <si>
    <t xml:space="preserve">First Name</t>
  </si>
  <si>
    <t xml:space="preserve">Address</t>
  </si>
  <si>
    <t xml:space="preserve">Year Born</t>
  </si>
  <si>
    <t xml:space="preserve">Year</t>
  </si>
  <si>
    <t xml:space="preserve">Census</t>
  </si>
  <si>
    <t xml:space="preserve">Sex</t>
  </si>
  <si>
    <t xml:space="preserve">Age</t>
  </si>
  <si>
    <t xml:space="preserve">Payment</t>
  </si>
  <si>
    <t xml:space="preserve">Net Tax</t>
  </si>
  <si>
    <t xml:space="preserve">Age UBI</t>
  </si>
  <si>
    <t xml:space="preserve">Alive?</t>
  </si>
  <si>
    <t xml:space="preserve">Charity</t>
  </si>
  <si>
    <t xml:space="preserve">Property</t>
  </si>
  <si>
    <t xml:space="preserve">Child</t>
  </si>
  <si>
    <t xml:space="preserve">Sunlight</t>
  </si>
  <si>
    <t xml:space="preserve">Wealth</t>
  </si>
  <si>
    <t xml:space="preserve">Voting?</t>
  </si>
  <si>
    <t xml:space="preserve">Jury Duty?</t>
  </si>
  <si>
    <t xml:space="preserve">Disabled?</t>
  </si>
  <si>
    <t xml:space="preserve"># Shared?</t>
  </si>
  <si>
    <t xml:space="preserve">Maternity</t>
  </si>
  <si>
    <t xml:space="preserve">Children</t>
  </si>
  <si>
    <t xml:space="preserve">Child 1</t>
  </si>
  <si>
    <t xml:space="preserve">Child 2</t>
  </si>
  <si>
    <t xml:space="preserve">Child 3</t>
  </si>
  <si>
    <t xml:space="preserve">Child 4</t>
  </si>
  <si>
    <t xml:space="preserve">Child 5</t>
  </si>
  <si>
    <t xml:space="preserve">Marriage</t>
  </si>
  <si>
    <t xml:space="preserve">Spouse ID</t>
  </si>
  <si>
    <t xml:space="preserve">Date</t>
  </si>
  <si>
    <t xml:space="preserve">Public Projects</t>
  </si>
  <si>
    <t xml:space="preserve">Sq-ft 1</t>
  </si>
  <si>
    <t xml:space="preserve">Sq-ft 2</t>
  </si>
  <si>
    <t xml:space="preserve">Sq-ft 3</t>
  </si>
  <si>
    <t xml:space="preserve">Mort Assist $</t>
  </si>
  <si>
    <t xml:space="preserve">Mort Assist</t>
  </si>
  <si>
    <t xml:space="preserve">Want Jury Duty?</t>
  </si>
  <si>
    <t xml:space="preserve">Deputy?</t>
  </si>
  <si>
    <t xml:space="preserve">Wealth Tax</t>
  </si>
  <si>
    <t xml:space="preserve">Rate %</t>
  </si>
  <si>
    <t xml:space="preserve">Wealth $M</t>
  </si>
  <si>
    <t xml:space="preserve">BCH Address</t>
  </si>
  <si>
    <t xml:space="preserve">Resident List </t>
  </si>
  <si>
    <t xml:space="preserve">Receipt Generator</t>
  </si>
  <si>
    <t xml:space="preserve">Taxes</t>
  </si>
  <si>
    <t xml:space="preserve">Deputy v5.7</t>
  </si>
  <si>
    <t xml:space="preserve">Disability v5.7</t>
  </si>
  <si>
    <t xml:space="preserve">Sunshine v5.7</t>
  </si>
  <si>
    <t xml:space="preserve">Child Tax v5.7</t>
  </si>
  <si>
    <t xml:space="preserve">PIN</t>
  </si>
  <si>
    <t xml:space="preserve">Phone</t>
  </si>
  <si>
    <t xml:space="preserve">Reference 1</t>
  </si>
  <si>
    <t xml:space="preserve">Reference 2</t>
  </si>
  <si>
    <t xml:space="preserve">Ref Checked</t>
  </si>
  <si>
    <t xml:space="preserve">Taxes Owed</t>
  </si>
  <si>
    <t xml:space="preserve">Last Payment Date</t>
  </si>
  <si>
    <t xml:space="preserve">Election Year Voted</t>
  </si>
  <si>
    <t xml:space="preserve">Immigration Interview</t>
  </si>
  <si>
    <t xml:space="preserve">Bold+Underline = Editable</t>
  </si>
  <si>
    <t xml:space="preserve">85dc135e2f22e9717694f9d5380de331e597b8971c776acf5afdb6b3395fb448</t>
  </si>
  <si>
    <t xml:space="preserve">Time</t>
  </si>
  <si>
    <t xml:space="preserve">Traveling</t>
  </si>
  <si>
    <t xml:space="preserve">XYZ</t>
  </si>
  <si>
    <t xml:space="preserve">M</t>
  </si>
  <si>
    <t xml:space="preserve">Current Year</t>
  </si>
  <si>
    <t xml:space="preserve">Resident ID</t>
  </si>
  <si>
    <t xml:space="preserve">Parents individually calculated</t>
  </si>
  <si>
    <t xml:space="preserve">Tea</t>
  </si>
  <si>
    <t xml:space="preserve">High</t>
  </si>
  <si>
    <t xml:space="preserve">W</t>
  </si>
  <si>
    <t xml:space="preserve">Max Charity Tax % v6</t>
  </si>
  <si>
    <t xml:space="preserve"># of Children</t>
  </si>
  <si>
    <t xml:space="preserve">Tax per child</t>
  </si>
  <si>
    <t xml:space="preserve">Total Tax/month</t>
  </si>
  <si>
    <t xml:space="preserve">Per Couple</t>
  </si>
  <si>
    <t xml:space="preserve">XYZ </t>
  </si>
  <si>
    <t xml:space="preserve">Current Month</t>
  </si>
  <si>
    <t xml:space="preserve">Net Budget (+ = profit)</t>
  </si>
  <si>
    <t xml:space="preserve">Age-Based UBI</t>
  </si>
  <si>
    <t xml:space="preserve">Net Payment</t>
  </si>
  <si>
    <t xml:space="preserve">Plus sin and electric</t>
  </si>
  <si>
    <t xml:space="preserve">Net Budget (with sin/elec)</t>
  </si>
  <si>
    <t xml:space="preserve">Resident</t>
  </si>
  <si>
    <t xml:space="preserve">Test</t>
  </si>
  <si>
    <t xml:space="preserve">bitcoincash:qz3yeruzcwjcp7cxdq2fvtwp07cvvl00rvlk73rqgv</t>
  </si>
  <si>
    <t xml:space="preserve">Net Budget (minus admin)</t>
  </si>
  <si>
    <t xml:space="preserve">Total Public Projects</t>
  </si>
  <si>
    <t xml:space="preserve">Total Living Residents</t>
  </si>
  <si>
    <t xml:space="preserve">Charity Market %</t>
  </si>
  <si>
    <t xml:space="preserve">Data Harvesting</t>
  </si>
  <si>
    <t xml:space="preserve">Total Residents</t>
  </si>
  <si>
    <t xml:space="preserve">Total Costs</t>
  </si>
  <si>
    <t xml:space="preserve">* + = Profit</t>
  </si>
  <si>
    <t xml:space="preserve">Per capita</t>
  </si>
  <si>
    <t xml:space="preserve">Net Budget</t>
  </si>
  <si>
    <t xml:space="preserve">Voting Age Residents</t>
  </si>
  <si>
    <t xml:space="preserve">Avg Per capita</t>
  </si>
  <si>
    <t xml:space="preserve">Total Tax</t>
  </si>
  <si>
    <t xml:space="preserve">Council Salaries</t>
  </si>
  <si>
    <t xml:space="preserve">Total Charity</t>
  </si>
  <si>
    <t xml:space="preserve">Okafor</t>
  </si>
  <si>
    <t xml:space="preserve">James</t>
  </si>
  <si>
    <t xml:space="preserve">7 Amber Lane</t>
  </si>
  <si>
    <t xml:space="preserve">Admin</t>
  </si>
  <si>
    <t xml:space="preserve">Net Tax (no admin)</t>
  </si>
  <si>
    <t xml:space="preserve">0ffe1abd1a08215353c233d6e009613e95eec4253832a761af28ff37ac5a150c</t>
  </si>
  <si>
    <t xml:space="preserve">test16@arkology.org</t>
  </si>
  <si>
    <t xml:space="preserve">Vasquez</t>
  </si>
  <si>
    <t xml:space="preserve">Maria</t>
  </si>
  <si>
    <t xml:space="preserve">12 Cedar Row</t>
  </si>
  <si>
    <t xml:space="preserve">F</t>
  </si>
  <si>
    <t xml:space="preserve">TTT Copyright Royalties</t>
  </si>
  <si>
    <t xml:space="preserve">Deputy</t>
  </si>
  <si>
    <t xml:space="preserve">test17@arkology.org</t>
  </si>
  <si>
    <t xml:space="preserve">Chen</t>
  </si>
  <si>
    <t xml:space="preserve">David</t>
  </si>
  <si>
    <t xml:space="preserve">3 Iron Gate Rd</t>
  </si>
  <si>
    <t xml:space="preserve">UBI</t>
  </si>
  <si>
    <t xml:space="preserve">Master</t>
  </si>
  <si>
    <t xml:space="preserve">Effective UBI Reduction</t>
  </si>
  <si>
    <t xml:space="preserve">Diallo</t>
  </si>
  <si>
    <t xml:space="preserve">Amara</t>
  </si>
  <si>
    <t xml:space="preserve">21 Starlight Path</t>
  </si>
  <si>
    <t xml:space="preserve">bitcoincash:qqajrrhcrqyj9qxv3hj58e8xkd4xx7c6k5v3xrdyuk</t>
  </si>
  <si>
    <t xml:space="preserve">Landlord Tax v6</t>
  </si>
  <si>
    <t xml:space="preserve">Dampener</t>
  </si>
  <si>
    <t xml:space="preserve">Exponential Slope</t>
  </si>
  <si>
    <t xml:space="preserve">Minimum Sqft</t>
  </si>
  <si>
    <t xml:space="preserve">Rate Maximum</t>
  </si>
  <si>
    <t xml:space="preserve">John Smith</t>
  </si>
  <si>
    <t xml:space="preserve">Jane Doe</t>
  </si>
  <si>
    <t xml:space="preserve">Eriksson</t>
  </si>
  <si>
    <t xml:space="preserve">Thomas</t>
  </si>
  <si>
    <t xml:space="preserve">9 Birchwood Ct</t>
  </si>
  <si>
    <t xml:space="preserve">Electric</t>
  </si>
  <si>
    <t xml:space="preserve">Disability</t>
  </si>
  <si>
    <t xml:space="preserve">(Formula Adj)</t>
  </si>
  <si>
    <t xml:space="preserve">Net Budget (Column K)</t>
  </si>
  <si>
    <t xml:space="preserve">Ramanathan</t>
  </si>
  <si>
    <t xml:space="preserve">Priya</t>
  </si>
  <si>
    <t xml:space="preserve">45 Copper Hill</t>
  </si>
  <si>
    <t xml:space="preserve">Total Maternity</t>
  </si>
  <si>
    <t xml:space="preserve">Sin</t>
  </si>
  <si>
    <t xml:space="preserve">Brackets (sqft)</t>
  </si>
  <si>
    <t xml:space="preserve">Rate($/sqft)</t>
  </si>
  <si>
    <t xml:space="preserve">Tax (Total)</t>
  </si>
  <si>
    <t xml:space="preserve">Achebe</t>
  </si>
  <si>
    <t xml:space="preserve">Samuel</t>
  </si>
  <si>
    <t xml:space="preserve">8 Granite Square</t>
  </si>
  <si>
    <t xml:space="preserve">Khoury</t>
  </si>
  <si>
    <t xml:space="preserve">Leila</t>
  </si>
  <si>
    <t xml:space="preserve">16 Meadow Rise</t>
  </si>
  <si>
    <t xml:space="preserve">Tanaka</t>
  </si>
  <si>
    <t xml:space="preserve">Robert</t>
  </si>
  <si>
    <t xml:space="preserve">31 Willow Bend</t>
  </si>
  <si>
    <t xml:space="preserve">Al-Farsi</t>
  </si>
  <si>
    <t xml:space="preserve">Fatima</t>
  </si>
  <si>
    <t xml:space="preserve">5 Sandstone Way</t>
  </si>
  <si>
    <t xml:space="preserve">Johansson</t>
  </si>
  <si>
    <t xml:space="preserve">Henrik</t>
  </si>
  <si>
    <t xml:space="preserve">14 Pinecrest Ave</t>
  </si>
  <si>
    <t xml:space="preserve">Total Men</t>
  </si>
  <si>
    <t xml:space="preserve">Total Women</t>
  </si>
  <si>
    <t xml:space="preserve">X</t>
  </si>
  <si>
    <t xml:space="preserve">Net Budget (With Reduct)</t>
  </si>
  <si>
    <t xml:space="preserve">Electric Taxes v5.7</t>
  </si>
  <si>
    <t xml:space="preserve">Starting Kwh</t>
  </si>
  <si>
    <t xml:space="preserve">Residential Versions</t>
  </si>
  <si>
    <t xml:space="preserve">Interest Rate</t>
  </si>
  <si>
    <t xml:space="preserve">Years of Mortgage</t>
  </si>
  <si>
    <t xml:space="preserve">Cost of Frame</t>
  </si>
  <si>
    <t xml:space="preserve">Average UBI Used</t>
  </si>
  <si>
    <t xml:space="preserve">Median</t>
  </si>
  <si>
    <t xml:space="preserve">https://www.youtube.com/watch?v=P89bsTQqSq0</t>
  </si>
  <si>
    <t xml:space="preserve">Kwh / month</t>
  </si>
  <si>
    <t xml:space="preserve">Rate ($/kwh)</t>
  </si>
  <si>
    <t xml:space="preserve">@24hrs, total KW</t>
  </si>
  <si>
    <t xml:space="preserve">Elec Tax $/month</t>
  </si>
  <si>
    <t xml:space="preserve">Version #</t>
  </si>
  <si>
    <t xml:space="preserve">Estimated Interior $K</t>
  </si>
  <si>
    <t xml:space="preserve">Number of Apartments</t>
  </si>
  <si>
    <t xml:space="preserve">Cost Per Apartment</t>
  </si>
  <si>
    <t xml:space="preserve">Mortgage $/month</t>
  </si>
  <si>
    <t xml:space="preserve">Mortgage w/ Frame Rebates</t>
  </si>
  <si>
    <t xml:space="preserve">Primary Sqft</t>
  </si>
  <si>
    <t xml:space="preserve">Second Sqft</t>
  </si>
  <si>
    <t xml:space="preserve">Tertiary Sqft</t>
  </si>
  <si>
    <t xml:space="preserve">Total Sqft</t>
  </si>
  <si>
    <t xml:space="preserve">Landlord Tax</t>
  </si>
  <si>
    <t xml:space="preserve">Mortgage + Property Tax</t>
  </si>
  <si>
    <t xml:space="preserve">Sqft / $ / Month</t>
  </si>
  <si>
    <t xml:space="preserve">Mort w/Frame Rebate</t>
  </si>
  <si>
    <t xml:space="preserve">Mort + Prop Tax</t>
  </si>
  <si>
    <t xml:space="preserve">UBI x 2</t>
  </si>
  <si>
    <t xml:space="preserve">v3 Frat House</t>
  </si>
  <si>
    <t xml:space="preserve">v4 Multi-Level Lifestyle</t>
  </si>
  <si>
    <t xml:space="preserve">v5 Good Neighbors</t>
  </si>
  <si>
    <t xml:space="preserve">Man Calc (kwh)</t>
  </si>
  <si>
    <t xml:space="preserve">v6 Radial Commune</t>
  </si>
  <si>
    <t xml:space="preserve">v7 Trinity Stack</t>
  </si>
  <si>
    <t xml:space="preserve">$/month elec tax</t>
  </si>
  <si>
    <t xml:space="preserve">v8 Dueling Mansions</t>
  </si>
  <si>
    <t xml:space="preserve">v9 Affluent Alley</t>
  </si>
  <si>
    <t xml:space="preserve">v10 Corner Commerce</t>
  </si>
  <si>
    <t xml:space="preserve">v11 Rhombic</t>
  </si>
  <si>
    <t xml:space="preserve">Large Public Projects</t>
  </si>
  <si>
    <t xml:space="preserve">v12 Central Hex</t>
  </si>
  <si>
    <t xml:space="preserve">v13 POD Insanity</t>
  </si>
  <si>
    <t xml:space="preserve">v14 PODs Improved</t>
  </si>
  <si>
    <t xml:space="preserve">List of Public Projects</t>
  </si>
  <si>
    <t xml:space="preserve">Total</t>
  </si>
  <si>
    <t xml:space="preserve">Total of Ark sqft</t>
  </si>
  <si>
    <t xml:space="preserve">v15 Studios</t>
  </si>
  <si>
    <t xml:space="preserve">v15 PODS</t>
  </si>
  <si>
    <t xml:space="preserve">Cost</t>
  </si>
  <si>
    <t xml:space="preserve">Year Repayment</t>
  </si>
  <si>
    <t xml:space="preserve">$/month</t>
  </si>
  <si>
    <t xml:space="preserve">Dollar/sqft/month</t>
  </si>
  <si>
    <t xml:space="preserve">Year started</t>
  </si>
  <si>
    <t xml:space="preserve">Paid off</t>
  </si>
  <si>
    <t xml:space="preserve">v15 Commercial</t>
  </si>
  <si>
    <t xml:space="preserve">Vertical farm</t>
  </si>
  <si>
    <t xml:space="preserve">v16 Palace</t>
  </si>
  <si>
    <t xml:space="preserve">Pond</t>
  </si>
  <si>
    <t xml:space="preserve">v17 Full House</t>
  </si>
  <si>
    <t xml:space="preserve">Planetarium</t>
  </si>
  <si>
    <t xml:space="preserve">v18 Family Values</t>
  </si>
  <si>
    <t xml:space="preserve">v22 Elevation</t>
  </si>
  <si>
    <t xml:space="preserve">NEED TO CALC</t>
  </si>
  <si>
    <t xml:space="preserve">v23 Radial PODs</t>
  </si>
  <si>
    <t xml:space="preserve">v25 Frugal Trapezoid</t>
  </si>
  <si>
    <t xml:space="preserve">v24 Frugal Trapezoid</t>
  </si>
  <si>
    <t xml:space="preserve">v26</t>
  </si>
  <si>
    <t xml:space="preserve">v27</t>
  </si>
  <si>
    <t xml:space="preserve">Maternity Formula</t>
  </si>
  <si>
    <t xml:space="preserve">V5.7</t>
  </si>
  <si>
    <t xml:space="preserve">Starting $</t>
  </si>
  <si>
    <t xml:space="preserve">v28 The Long House</t>
  </si>
  <si>
    <t xml:space="preserve">v29 Res v4 Redesign</t>
  </si>
  <si>
    <t xml:space="preserve">v30 Holy Trinity</t>
  </si>
  <si>
    <t xml:space="preserve">v30</t>
  </si>
  <si>
    <t xml:space="preserve">v31</t>
  </si>
  <si>
    <t xml:space="preserve">v32</t>
  </si>
  <si>
    <t xml:space="preserve">Landlord Tax v3.5</t>
  </si>
  <si>
    <t xml:space="preserve">Start Apart Size</t>
  </si>
  <si>
    <t xml:space="preserve">Avg Apartmnt</t>
  </si>
  <si>
    <t xml:space="preserve">v33</t>
  </si>
  <si>
    <t xml:space="preserve">v34</t>
  </si>
  <si>
    <t xml:space="preserve">Test flooring to failure</t>
  </si>
  <si>
    <t xml:space="preserve">Tax/apartment</t>
  </si>
  <si>
    <t xml:space="preserve">$ per Sqft</t>
  </si>
  <si>
    <t xml:space="preserve">UBI v5.7</t>
  </si>
  <si>
    <t xml:space="preserve">Div 5</t>
  </si>
  <si>
    <t xml:space="preserve">UBI Start</t>
  </si>
  <si>
    <t xml:space="preserve">v35</t>
  </si>
  <si>
    <t xml:space="preserve">???</t>
  </si>
  <si>
    <t xml:space="preserve">v36</t>
  </si>
  <si>
    <t xml:space="preserve">UBI Slope</t>
  </si>
  <si>
    <t xml:space="preserve">v37</t>
  </si>
  <si>
    <t xml:space="preserve">v38</t>
  </si>
  <si>
    <t xml:space="preserve">v39 Hexy Village</t>
  </si>
  <si>
    <t xml:space="preserve">Manual Input(sqft)</t>
  </si>
  <si>
    <t xml:space="preserve">Property Tax</t>
  </si>
  <si>
    <t xml:space="preserve">Square Foot Cost Estimates</t>
  </si>
  <si>
    <t xml:space="preserve">1 Full Bathroom</t>
  </si>
  <si>
    <t xml:space="preserve">(Actual)</t>
  </si>
  <si>
    <t xml:space="preserve">1 Half Bathroom</t>
  </si>
  <si>
    <t xml:space="preserve">(Estimate)</t>
  </si>
  <si>
    <t xml:space="preserve">Hours of Labor</t>
  </si>
  <si>
    <t xml:space="preserve">Hours of gen labor</t>
  </si>
  <si>
    <t xml:space="preserve">Average per hour</t>
  </si>
  <si>
    <t xml:space="preserve">$ per hour</t>
  </si>
  <si>
    <t xml:space="preserve">Materials </t>
  </si>
  <si>
    <t xml:space="preserve">Hours of plumbing</t>
  </si>
  <si>
    <t xml:space="preserve">Total Cost</t>
  </si>
  <si>
    <t xml:space="preserve">Toilet</t>
  </si>
  <si>
    <t xml:space="preserve">Vanity + mirror</t>
  </si>
  <si>
    <t xml:space="preserve">Misc Materials</t>
  </si>
  <si>
    <t xml:space="preserve">First 6 months</t>
  </si>
  <si>
    <t xml:space="preserve">2nd 6 months</t>
  </si>
  <si>
    <t xml:space="preserve">Truss Assembly Labor</t>
  </si>
  <si>
    <t xml:space="preserve">(Example video) </t>
  </si>
  <si>
    <t xml:space="preserve">Meters of steel</t>
  </si>
  <si>
    <t xml:space="preserve">Mortgage Assist</t>
  </si>
  <si>
    <t xml:space="preserve">Per Capita</t>
  </si>
  <si>
    <t xml:space="preserve">Laborers</t>
  </si>
  <si>
    <t xml:space="preserve">Sum Of Taxes</t>
  </si>
  <si>
    <t xml:space="preserve">Hours</t>
  </si>
  <si>
    <t xml:space="preserve">Mort Assist %</t>
  </si>
  <si>
    <t xml:space="preserve">Meters per labor hour</t>
  </si>
  <si>
    <t xml:space="preserve">% steel used in webbing</t>
  </si>
  <si>
    <t xml:space="preserve">Number of Mort</t>
  </si>
  <si>
    <t xml:space="preserve">Truss Sizes Used</t>
  </si>
  <si>
    <t xml:space="preserve"># of trusses each</t>
  </si>
  <si>
    <t xml:space="preserve">Meters Needed</t>
  </si>
  <si>
    <t xml:space="preserve">Average</t>
  </si>
  <si>
    <t xml:space="preserve">Mort Assist Each</t>
  </si>
  <si>
    <t xml:space="preserve">Large (60ft)</t>
  </si>
  <si>
    <t xml:space="preserve">Medium (30 ft)</t>
  </si>
  <si>
    <t xml:space="preserve">Med (30 ft)</t>
  </si>
  <si>
    <t xml:space="preserve">Wealth Taxes</t>
  </si>
  <si>
    <t xml:space="preserve">1+LOG10($M)</t>
  </si>
  <si>
    <t xml:space="preserve">Data Collection</t>
  </si>
  <si>
    <t xml:space="preserve">Small (15 ft)</t>
  </si>
  <si>
    <t xml:space="preserve">Net Worth ($M)</t>
  </si>
  <si>
    <t xml:space="preserve">Gender War</t>
  </si>
  <si>
    <t xml:space="preserve">Micro (7 ft)</t>
  </si>
  <si>
    <t xml:space="preserve">Men</t>
  </si>
  <si>
    <t xml:space="preserve">Women</t>
  </si>
  <si>
    <t xml:space="preserve">Children Under 15</t>
  </si>
  <si>
    <t xml:space="preserve">Adults</t>
  </si>
  <si>
    <t xml:space="preserve">Formula</t>
  </si>
  <si>
    <t xml:space="preserve">6 Months</t>
  </si>
  <si>
    <t xml:space="preserve">Bonus</t>
  </si>
  <si>
    <t xml:space="preserve">OLD IGNORE</t>
  </si>
  <si>
    <t xml:space="preserve">Maternity Chart</t>
  </si>
  <si>
    <t xml:space="preserve">Month</t>
  </si>
  <si>
    <t xml:space="preserve">Benefit</t>
  </si>
  <si>
    <t xml:space="preserve">6 month</t>
  </si>
  <si>
    <t xml:space="preserve">Charity Market</t>
  </si>
  <si>
    <t xml:space="preserve">Charity ID#</t>
  </si>
  <si>
    <t xml:space="preserve">Name</t>
  </si>
  <si>
    <t xml:space="preserve">Employees</t>
  </si>
  <si>
    <t xml:space="preserve">Budget (cur year)</t>
  </si>
  <si>
    <t xml:space="preserve">$ / employee</t>
  </si>
  <si>
    <t xml:space="preserve">Charity Ratings</t>
  </si>
  <si>
    <t xml:space="preserve">Charity Budget</t>
  </si>
  <si>
    <t xml:space="preserve">Description</t>
  </si>
  <si>
    <t xml:space="preserve">Homeless Homies</t>
  </si>
  <si>
    <t xml:space="preserve">Total Ratings</t>
  </si>
  <si>
    <t xml:space="preserve">Supporting the unhoused with shelter, meals, and transition resources within the Ark community.</t>
  </si>
  <si>
    <t xml:space="preserve">Widow Wisdom</t>
  </si>
  <si>
    <t xml:space="preserve">Total Votes</t>
  </si>
  <si>
    <t xml:space="preserve">Counseling, financial aid, and social support for widows and widowers in the community.</t>
  </si>
  <si>
    <t xml:space="preserve">MUST BE UPDATED</t>
  </si>
  <si>
    <t xml:space="preserve">Orphan Organ</t>
  </si>
  <si>
    <t xml:space="preserve">Votes per capita</t>
  </si>
  <si>
    <t xml:space="preserve">Healthcare, education, and organ donation advocacy for orphaned children.</t>
  </si>
  <si>
    <t xml:space="preserve">ON JULY 4th</t>
  </si>
  <si>
    <t xml:space="preserve">Science + Arts</t>
  </si>
  <si>
    <t xml:space="preserve">% of Population</t>
  </si>
  <si>
    <t xml:space="preserve">Funding scientific research, art exhibitions, maker spaces, and creative workshops.</t>
  </si>
  <si>
    <t xml:space="preserve">Musical Muse</t>
  </si>
  <si>
    <t xml:space="preserve">% Charity Tax</t>
  </si>
  <si>
    <t xml:space="preserve">Music education, instrument lending library, performance spaces, and community concerts.</t>
  </si>
  <si>
    <t xml:space="preserve">Total Charity $</t>
  </si>
  <si>
    <t xml:space="preserve">Budget (per month)</t>
  </si>
  <si>
    <t xml:space="preserve">Budget Per Rating</t>
  </si>
  <si>
    <t xml:space="preserve">Per Employee</t>
  </si>
  <si>
    <t xml:space="preserve"># of Charities</t>
  </si>
  <si>
    <t xml:space="preserve">Avg Employees</t>
  </si>
  <si>
    <t xml:space="preserve">Transaction #</t>
  </si>
  <si>
    <t xml:space="preserve">Property #</t>
  </si>
  <si>
    <t xml:space="preserve">Square Feet</t>
  </si>
  <si>
    <t xml:space="preserve">$ Amt (K)</t>
  </si>
  <si>
    <t xml:space="preserve">Owner ID</t>
  </si>
  <si>
    <t xml:space="preserve">Name Last</t>
  </si>
  <si>
    <t xml:space="preserve">Name First</t>
  </si>
  <si>
    <t xml:space="preserve">Used For</t>
  </si>
  <si>
    <t xml:space="preserve">Prop Tax</t>
  </si>
  <si>
    <t xml:space="preserve">Slave</t>
  </si>
  <si>
    <t xml:space="preserve">T1</t>
  </si>
  <si>
    <t xml:space="preserve">P1</t>
  </si>
  <si>
    <t xml:space="preserve">23 Lofty Lane</t>
  </si>
  <si>
    <t xml:space="preserve">Res</t>
  </si>
  <si>
    <t xml:space="preserve">Average Property Tax</t>
  </si>
  <si>
    <t xml:space="preserve">Landlord Tax v3.2</t>
  </si>
  <si>
    <t xml:space="preserve">T2</t>
  </si>
  <si>
    <t xml:space="preserve">P2</t>
  </si>
  <si>
    <t xml:space="preserve">94 Comfy Corner</t>
  </si>
  <si>
    <t xml:space="preserve">T3</t>
  </si>
  <si>
    <t xml:space="preserve">P3</t>
  </si>
  <si>
    <t xml:space="preserve">23 Creative Castle</t>
  </si>
  <si>
    <t xml:space="preserve">Com</t>
  </si>
  <si>
    <t xml:space="preserve">Value ($K)</t>
  </si>
  <si>
    <t xml:space="preserve">T4</t>
  </si>
  <si>
    <t xml:space="preserve">P4</t>
  </si>
  <si>
    <t xml:space="preserve">123 PlayPlace </t>
  </si>
  <si>
    <t xml:space="preserve">Indus</t>
  </si>
  <si>
    <t xml:space="preserve">T5</t>
  </si>
  <si>
    <t xml:space="preserve">P5</t>
  </si>
  <si>
    <t xml:space="preserve">2 West Bay</t>
  </si>
  <si>
    <t xml:space="preserve">T6</t>
  </si>
  <si>
    <t xml:space="preserve">P6</t>
  </si>
  <si>
    <t xml:space="preserve">2 Br generic</t>
  </si>
  <si>
    <t xml:space="preserve">Church</t>
  </si>
  <si>
    <t xml:space="preserve">$/sqft Avg</t>
  </si>
  <si>
    <t xml:space="preserve">T7</t>
  </si>
  <si>
    <t xml:space="preserve">P7</t>
  </si>
  <si>
    <t xml:space="preserve">48 Youtube dr</t>
  </si>
  <si>
    <t xml:space="preserve">Public</t>
  </si>
  <si>
    <t xml:space="preserve">T8</t>
  </si>
  <si>
    <t xml:space="preserve">P8</t>
  </si>
  <si>
    <t xml:space="preserve">15 Tech Park</t>
  </si>
  <si>
    <t xml:space="preserve">T9</t>
  </si>
  <si>
    <t xml:space="preserve">P9</t>
  </si>
  <si>
    <t xml:space="preserve">40 Grassy Knoll</t>
  </si>
  <si>
    <t xml:space="preserve">T10</t>
  </si>
  <si>
    <t xml:space="preserve">P10</t>
  </si>
  <si>
    <t xml:space="preserve">20 Learning Way</t>
  </si>
  <si>
    <t xml:space="preserve">School</t>
  </si>
  <si>
    <t xml:space="preserve">T11</t>
  </si>
  <si>
    <t xml:space="preserve">P11</t>
  </si>
  <si>
    <t xml:space="preserve">T12</t>
  </si>
  <si>
    <t xml:space="preserve">P12</t>
  </si>
  <si>
    <t xml:space="preserve">T13</t>
  </si>
  <si>
    <t xml:space="preserve">P13</t>
  </si>
  <si>
    <t xml:space="preserve">T14</t>
  </si>
  <si>
    <t xml:space="preserve">P14</t>
  </si>
  <si>
    <t xml:space="preserve">Revenue Estimates</t>
  </si>
  <si>
    <t xml:space="preserve">% Residents</t>
  </si>
  <si>
    <t xml:space="preserve"># of Residents </t>
  </si>
  <si>
    <t xml:space="preserve">Avg Sqft</t>
  </si>
  <si>
    <t xml:space="preserve">$ Tax per Month</t>
  </si>
  <si>
    <t xml:space="preserve">Paid by these</t>
  </si>
  <si>
    <t xml:space="preserve">% of Total</t>
  </si>
  <si>
    <t xml:space="preserve">% of Total Area</t>
  </si>
  <si>
    <t xml:space="preserve">T15</t>
  </si>
  <si>
    <t xml:space="preserve">P15</t>
  </si>
  <si>
    <t xml:space="preserve">Average Low</t>
  </si>
  <si>
    <t xml:space="preserve">T16</t>
  </si>
  <si>
    <t xml:space="preserve">P16</t>
  </si>
  <si>
    <t xml:space="preserve">Average Med</t>
  </si>
  <si>
    <t xml:space="preserve">T17</t>
  </si>
  <si>
    <t xml:space="preserve">P17</t>
  </si>
  <si>
    <t xml:space="preserve">Average High</t>
  </si>
  <si>
    <t xml:space="preserve">T18</t>
  </si>
  <si>
    <t xml:space="preserve">P18</t>
  </si>
  <si>
    <t xml:space="preserve">Average X High</t>
  </si>
  <si>
    <t xml:space="preserve">T19</t>
  </si>
  <si>
    <t xml:space="preserve">P19</t>
  </si>
  <si>
    <t xml:space="preserve">Renters(Spouse/room/child)</t>
  </si>
  <si>
    <t xml:space="preserve">T20</t>
  </si>
  <si>
    <t xml:space="preserve">P20</t>
  </si>
  <si>
    <t xml:space="preserve">Sum of Total Addition</t>
  </si>
  <si>
    <t xml:space="preserve">T21</t>
  </si>
  <si>
    <t xml:space="preserve">P21</t>
  </si>
  <si>
    <t xml:space="preserve">T22</t>
  </si>
  <si>
    <t xml:space="preserve">P22</t>
  </si>
  <si>
    <t xml:space="preserve">T23</t>
  </si>
  <si>
    <t xml:space="preserve">T24</t>
  </si>
  <si>
    <t xml:space="preserve">T25</t>
  </si>
  <si>
    <t xml:space="preserve">Electric Tax</t>
  </si>
  <si>
    <t xml:space="preserve">Property ID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</si>
  <si>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</si>
  <si>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</si>
  <si>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</si>
  <si>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</si>
  <si>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</si>
  <si>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</si>
  <si>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</si>
  <si>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</si>
  <si>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</si>
  <si>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</si>
  <si>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</si>
  <si>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</si>
  <si>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Sin Tax</t>
  </si>
  <si>
    <t xml:space="preserve">Bond Blockchain</t>
  </si>
  <si>
    <t xml:space="preserve">Serial #</t>
  </si>
  <si>
    <t xml:space="preserve">Amount $K</t>
  </si>
  <si>
    <t xml:space="preserve">Interest %</t>
  </si>
  <si>
    <t xml:space="preserve">Years</t>
  </si>
  <si>
    <t xml:space="preserve">Interest</t>
  </si>
  <si>
    <t xml:space="preserve">Repayment</t>
  </si>
  <si>
    <t xml:space="preserve">Total Interest (%)</t>
  </si>
  <si>
    <t xml:space="preserve">Interest / Year</t>
  </si>
  <si>
    <t xml:space="preserve">Date Issued</t>
  </si>
  <si>
    <t xml:space="preserve">Date Maturity</t>
  </si>
  <si>
    <t xml:space="preserve">Todays Date</t>
  </si>
  <si>
    <t xml:space="preserve">Outstanding?</t>
  </si>
  <si>
    <t xml:space="preserve">Current Debt</t>
  </si>
  <si>
    <t xml:space="preserve">Current Pmnt</t>
  </si>
  <si>
    <t xml:space="preserve">Weighted Avg Interest</t>
  </si>
  <si>
    <t xml:space="preserve">Total Debt</t>
  </si>
  <si>
    <t xml:space="preserve">Payments / Month</t>
  </si>
  <si>
    <t xml:space="preserve">Avg Interest %</t>
  </si>
  <si>
    <t xml:space="preserve">Hexarchy</t>
  </si>
  <si>
    <t xml:space="preserve">Decision ID</t>
  </si>
  <si>
    <t xml:space="preserve">Last Name </t>
  </si>
  <si>
    <t xml:space="preserve">Reason (if hired)</t>
  </si>
  <si>
    <t xml:space="preserve">Salary (month)</t>
  </si>
  <si>
    <t xml:space="preserve">Position</t>
  </si>
  <si>
    <t xml:space="preserve">Date Hired</t>
  </si>
  <si>
    <t xml:space="preserve">Current?</t>
  </si>
  <si>
    <t xml:space="preserve">Bogie</t>
  </si>
  <si>
    <t xml:space="preserve">Lisa</t>
  </si>
  <si>
    <t xml:space="preserve">Not-Dark</t>
  </si>
  <si>
    <t xml:space="preserve">Sheba</t>
  </si>
  <si>
    <t xml:space="preserve">Monopoly Man</t>
  </si>
  <si>
    <t xml:space="preserve">Development</t>
  </si>
  <si>
    <t xml:space="preserve">Artistic</t>
  </si>
  <si>
    <t xml:space="preserve">Immigration</t>
  </si>
  <si>
    <t xml:space="preserve">Judges</t>
  </si>
  <si>
    <t xml:space="preserve">Appointments</t>
  </si>
  <si>
    <t xml:space="preserve">Currently seated</t>
  </si>
  <si>
    <t xml:space="preserve">Reason (if fired)</t>
  </si>
  <si>
    <t xml:space="preserve">Salary </t>
  </si>
  <si>
    <t xml:space="preserve">Current Sal</t>
  </si>
  <si>
    <t xml:space="preserve">Bitcoin Address</t>
  </si>
  <si>
    <t xml:space="preserve">Up to date?</t>
  </si>
  <si>
    <t xml:space="preserve">Artistic </t>
  </si>
  <si>
    <t xml:space="preserve">Nepotism</t>
  </si>
  <si>
    <t xml:space="preserve">Spirit</t>
  </si>
  <si>
    <t xml:space="preserve">Technicality</t>
  </si>
  <si>
    <t xml:space="preserve">Dracula</t>
  </si>
  <si>
    <t xml:space="preserve">Count</t>
  </si>
  <si>
    <t xml:space="preserve">Esoteric</t>
  </si>
  <si>
    <t xml:space="preserve">Pail</t>
  </si>
  <si>
    <t xml:space="preserve">Programming</t>
  </si>
  <si>
    <t xml:space="preserve">Blender Skill</t>
  </si>
  <si>
    <t xml:space="preserve">Moved to Hexarchy</t>
  </si>
  <si>
    <t xml:space="preserve">Ark</t>
  </si>
  <si>
    <t xml:space="preserve">Caylus</t>
  </si>
  <si>
    <t xml:space="preserve"> Amazing Schizo Writing</t>
  </si>
  <si>
    <t xml:space="preserve">Doozle</t>
  </si>
  <si>
    <t xml:space="preserve">GLP, free cities</t>
  </si>
  <si>
    <t xml:space="preserve">Tree</t>
  </si>
  <si>
    <t xml:space="preserve">Color</t>
  </si>
  <si>
    <t xml:space="preserve">Meme magician</t>
  </si>
  <si>
    <t xml:space="preserve">Listo</t>
  </si>
  <si>
    <t xml:space="preserve">Clever, artistic</t>
  </si>
  <si>
    <t xml:space="preserve">Says</t>
  </si>
  <si>
    <t xml:space="preserve">Shiba</t>
  </si>
  <si>
    <t xml:space="preserve">Not interested</t>
  </si>
  <si>
    <t xml:space="preserve">Broke up</t>
  </si>
  <si>
    <t xml:space="preserve">Wordsmith / Jester</t>
  </si>
  <si>
    <t xml:space="preserve">Dramatic</t>
  </si>
  <si>
    <t xml:space="preserve">Erradic</t>
  </si>
  <si>
    <t xml:space="preserve">Childhood friend</t>
  </si>
  <si>
    <t xml:space="preserve">Man</t>
  </si>
  <si>
    <t xml:space="preserve">Milk</t>
  </si>
  <si>
    <t xml:space="preserve">Sheepit master</t>
  </si>
  <si>
    <t xml:space="preserve">M. Ezz Referal</t>
  </si>
  <si>
    <t xml:space="preserve">Hand of the king</t>
  </si>
  <si>
    <t xml:space="preserve">Monarch</t>
  </si>
  <si>
    <t xml:space="preserve">Author of Trinity Contracts</t>
  </si>
  <si>
    <t xml:space="preserve">Monarchy Abolished</t>
  </si>
  <si>
    <t xml:space="preserve">Election</t>
  </si>
  <si>
    <t xml:space="preserve">Disappeared</t>
  </si>
  <si>
    <t xml:space="preserve">Quit for school</t>
  </si>
  <si>
    <t xml:space="preserve">Jury Calc</t>
  </si>
  <si>
    <t xml:space="preserve">Not Guilty?</t>
  </si>
  <si>
    <t xml:space="preserve">Months</t>
  </si>
  <si>
    <t xml:space="preserve">Final Months</t>
  </si>
  <si>
    <t xml:space="preserve">Without NG</t>
  </si>
  <si>
    <t xml:space="preserve">Crime List</t>
  </si>
  <si>
    <t xml:space="preserve">Crime #</t>
  </si>
  <si>
    <t xml:space="preserve">Crime</t>
  </si>
  <si>
    <t xml:space="preserve">Guilty?</t>
  </si>
  <si>
    <t xml:space="preserve">Sentence (months)</t>
  </si>
  <si>
    <t xml:space="preserve">Sentence Start</t>
  </si>
  <si>
    <t xml:space="preserve">Sentence End</t>
  </si>
  <si>
    <t xml:space="preserve">Victim ID</t>
  </si>
  <si>
    <t xml:space="preserve">Victim Last</t>
  </si>
  <si>
    <t xml:space="preserve">Victim First</t>
  </si>
  <si>
    <t xml:space="preserve">Fine</t>
  </si>
  <si>
    <t xml:space="preserve">Fine Owed</t>
  </si>
  <si>
    <t xml:space="preserve">Fine Paid</t>
  </si>
  <si>
    <t xml:space="preserve">Deputy ID</t>
  </si>
  <si>
    <t xml:space="preserve">Deputy Last</t>
  </si>
  <si>
    <t xml:space="preserve">Deputy First</t>
  </si>
  <si>
    <t xml:space="preserve">Description (Short)</t>
  </si>
  <si>
    <t xml:space="preserve">Harassment</t>
  </si>
  <si>
    <t xml:space="preserve">N</t>
  </si>
  <si>
    <t xml:space="preserve">Harassed HighTea</t>
  </si>
  <si>
    <t xml:space="preserve">Victim Last Name</t>
  </si>
  <si>
    <t xml:space="preserve">Victim First Name</t>
  </si>
  <si>
    <t xml:space="preserve">Defendant ID</t>
  </si>
  <si>
    <t xml:space="preserve">Defendant Last</t>
  </si>
  <si>
    <t xml:space="preserve">Defendant First</t>
  </si>
  <si>
    <t xml:space="preserve">Victim Account</t>
  </si>
  <si>
    <t xml:space="preserve">Defendant Account</t>
  </si>
  <si>
    <t xml:space="preserve">Jury Ruling</t>
  </si>
  <si>
    <t xml:space="preserve">Order</t>
  </si>
  <si>
    <t xml:space="preserve">Resident #</t>
  </si>
  <si>
    <t xml:space="preserve">Calendar</t>
  </si>
  <si>
    <t xml:space="preserve">Week</t>
  </si>
  <si>
    <t xml:space="preserve">Sunday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</si>
  <si>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</si>
  <si>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</si>
  <si>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</si>
  <si>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</si>
  <si>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</si>
  <si>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</si>
  <si>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      City-wide        Shroom Trip  + Sabbath</t>
  </si>
  <si>
    <t xml:space="preserve">       Development Council     Meeting (6pm Discord)</t>
  </si>
  <si>
    <t xml:space="preserve">Artistic Council     Meeting (6pm Discord)</t>
  </si>
  <si>
    <t xml:space="preserve"> Financing Meeting (6pm Discord)</t>
  </si>
  <si>
    <t xml:space="preserve">Party / BBQ / Concert     (noon – midnight)</t>
  </si>
  <si>
    <t xml:space="preserve">Singles Night</t>
  </si>
  <si>
    <t xml:space="preserve">Sabbath</t>
  </si>
  <si>
    <t xml:space="preserve">Main internet shut off, Meat Monday</t>
  </si>
  <si>
    <t xml:space="preserve">Main internet shut off</t>
  </si>
  <si>
    <t xml:space="preserve">Main internet shut off; main    electricity shut off;            Party (6pm); Concert (8pm)</t>
  </si>
  <si>
    <t xml:space="preserve">             Main internet shut off;           Party (6pm)</t>
  </si>
  <si>
    <t xml:space="preserve">Meat Monday</t>
  </si>
  <si>
    <t xml:space="preserve">Concert (8pm)</t>
  </si>
  <si>
    <t xml:space="preserve">[Every]</t>
  </si>
  <si>
    <t xml:space="preserve">Market Monday(noon)  Barter and trade stuff</t>
  </si>
  <si>
    <t xml:space="preserve">Volleyball @10 – Tennis @12 – Frisbee @3 - Football @8</t>
  </si>
  <si>
    <r>
      <rPr>
        <sz val="11"/>
        <color theme="1"/>
        <rFont val="Calibri"/>
        <family val="2"/>
        <charset val="1"/>
      </rPr>
      <t xml:space="preserve">Volleyball @10 – Tennis @12 ጀ†</t>
    </r>
    <r>
      <rPr>
        <sz val="11"/>
        <color theme="1"/>
        <rFont val="Microsoft YaHei"/>
        <family val="2"/>
      </rPr>
      <t xml:space="preserve">䘀爀椀猀戀攀攀 䀀㌀ </t>
    </r>
    <r>
      <rPr>
        <sz val="11"/>
        <color theme="1"/>
        <rFont val="Calibri"/>
        <family val="2"/>
        <charset val="1"/>
      </rPr>
      <t xml:space="preserve">ⴀ </t>
    </r>
    <r>
      <rPr>
        <sz val="11"/>
        <color theme="1"/>
        <rFont val="Microsoft YaHei"/>
        <family val="2"/>
      </rPr>
      <t xml:space="preserve">䘀漀漀琀戀愀氀氀 䀀㘀</t>
    </r>
  </si>
  <si>
    <t xml:space="preserve">Election Active</t>
  </si>
  <si>
    <t xml:space="preserve">Emp #</t>
  </si>
  <si>
    <t xml:space="preserve">Monthly Salary ($)</t>
  </si>
  <si>
    <t xml:space="preserve">Date Hired/Elected</t>
  </si>
  <si>
    <t xml:space="preserve">Active</t>
  </si>
  <si>
    <t xml:space="preserve">Hexarchy (1st Place)</t>
  </si>
  <si>
    <t xml:space="preserve">2026-01-15</t>
  </si>
  <si>
    <t xml:space="preserve">Yes</t>
  </si>
  <si>
    <t xml:space="preserve">Hexarchy (2nd Place)</t>
  </si>
  <si>
    <t xml:space="preserve">Hexarchy (3rd Place)</t>
  </si>
  <si>
    <t xml:space="preserve">Hexarchy (4th Place)</t>
  </si>
  <si>
    <t xml:space="preserve">Hexarchy (5th Place)</t>
  </si>
  <si>
    <t xml:space="preserve">Hexarchy (6th Place)</t>
  </si>
  <si>
    <t xml:space="preserve">Development Council</t>
  </si>
  <si>
    <t xml:space="preserve">2025-01-01</t>
  </si>
  <si>
    <t xml:space="preserve">No</t>
  </si>
  <si>
    <t xml:space="preserve">Artistic Council</t>
  </si>
  <si>
    <t xml:space="preserve">Education Council</t>
  </si>
  <si>
    <t xml:space="preserve">2025-06-01</t>
  </si>
  <si>
    <t xml:space="preserve">Health Council</t>
  </si>
  <si>
    <t xml:space="preserve">2025-09-01</t>
  </si>
  <si>
    <t xml:space="preserve">Immigration Judge</t>
  </si>
  <si>
    <t xml:space="preserve">Criminal Court Judge</t>
  </si>
  <si>
    <t xml:space="preserve">2024-01-15</t>
  </si>
  <si>
    <t xml:space="preserve">Civil Court Judge</t>
  </si>
  <si>
    <t xml:space="preserve">2026-01-01</t>
  </si>
  <si>
    <t xml:space="preserve">Paw Patrol</t>
  </si>
  <si>
    <t xml:space="preserve">Auditor</t>
  </si>
  <si>
    <t xml:space="preserve">Infrastructure Contractor</t>
  </si>
  <si>
    <t xml:space="preserve">Misc Employee</t>
  </si>
  <si>
    <t xml:space="preserve">Label</t>
  </si>
  <si>
    <t xml:space="preserve">Balancing Multiplier (%)</t>
  </si>
  <si>
    <t xml:space="preserve">Total Budget ($)</t>
  </si>
  <si>
    <t xml:space="preserve">Living Citizens</t>
  </si>
  <si>
    <t xml:space="preserve">Per Capita ($)</t>
  </si>
  <si>
    <t xml:space="preserve">Feb 2023</t>
  </si>
  <si>
    <t xml:space="preserve">Mar 2023</t>
  </si>
  <si>
    <t xml:space="preserve">Apr 2023</t>
  </si>
  <si>
    <t xml:space="preserve">May 2023</t>
  </si>
  <si>
    <t xml:space="preserve">Jun 2023</t>
  </si>
  <si>
    <t xml:space="preserve">Jul 2023</t>
  </si>
  <si>
    <t xml:space="preserve">Aug 2023</t>
  </si>
  <si>
    <t xml:space="preserve">Sep 2023</t>
  </si>
  <si>
    <t xml:space="preserve">Oct 2023</t>
  </si>
  <si>
    <t xml:space="preserve">Nov 2023</t>
  </si>
  <si>
    <t xml:space="preserve">Dec 2023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</si>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</sst>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Microsoft YaHei"/>
      <family val="2"/>
    </font>
    <font>
      <b val="true"/>
      <sz val="11"/>
      <color rgb="FF08080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A84C"/>
        <bgColor rgb="FFFF9900"/>
      </patternFill>
    </fill>
    <fill>
      <patternFill patternType="solid">
        <fgColor rgb="FFF7F2E8"/>
        <bgColor rgb="FFFFFFFF"/>
      </patternFill>
    </fill>
    <fill>
      <patternFill patternType="solid">
        <fgColor rgb="FFFFFFFF"/>
        <bgColor rgb="FFF7F2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720"/>
      </left>
      <right style="thin">
        <color rgb="FF2A2720"/>
      </right>
      <top style="thin">
        <color rgb="FF2A2720"/>
      </top>
      <bottom style="thin">
        <color rgb="FF2A27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2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003366"/>
      <rgbColor rgb="FF339966"/>
      <rgbColor rgb="FF080807"/>
      <rgbColor rgb="FF333300"/>
      <rgbColor rgb="FF993300"/>
      <rgbColor rgb="FF993366"/>
      <rgbColor rgb="FF333399"/>
      <rgbColor rgb="FF2A27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V350"/>
  <sheetViews>
    <sheetView showFormulas="false" showGridLines="true" showRowColHeaders="true" showZeros="true" rightToLeft="false" tabSelected="true" showOutlineSymbols="true" defaultGridColor="true" view="normal" topLeftCell="A328" colorId="64" zoomScale="100" zoomScaleNormal="100" zoomScalePageLayoutView="100" workbookViewId="0">
      <selection pane="topLeft" activeCell="B343" activeCellId="0" sqref="B343"/>
    </sheetView>
  </sheetViews>
  <sheetFormatPr defaultColWidth="8.6796875" defaultRowHeight="15" customHeight="false" zeroHeight="false" outlineLevelRow="0" outlineLevelCol="0"/>
  <cols>
    <col collapsed="false" customWidth="true" hidden="false" outlineLevel="0" max="93" min="93" style="1" width="14"/>
    <col collapsed="false" customWidth="true" hidden="false" outlineLevel="0" max="94" min="94" style="1" width="18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19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17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34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1</v>
      </c>
      <c r="AZ1" s="1" t="s">
        <v>12</v>
      </c>
      <c r="BA1" s="1" t="s">
        <v>47</v>
      </c>
      <c r="BB1" s="1" t="s">
        <v>48</v>
      </c>
      <c r="BC1" s="2"/>
      <c r="BD1" s="1" t="s">
        <v>49</v>
      </c>
      <c r="BE1" s="1" t="s">
        <v>12</v>
      </c>
      <c r="BG1" s="1" t="s">
        <v>50</v>
      </c>
      <c r="BH1" s="1" t="s">
        <v>51</v>
      </c>
      <c r="BI1" s="1" t="s">
        <v>52</v>
      </c>
      <c r="BJ1" s="1" t="s">
        <v>53</v>
      </c>
      <c r="CN1" s="3" t="s">
        <v>54</v>
      </c>
      <c r="CO1" s="3" t="s">
        <v>55</v>
      </c>
      <c r="CP1" s="3" t="s">
        <v>56</v>
      </c>
      <c r="CQ1" s="3" t="s">
        <v>57</v>
      </c>
      <c r="CR1" s="3" t="s">
        <v>58</v>
      </c>
      <c r="CS1" s="3" t="s">
        <v>59</v>
      </c>
      <c r="CT1" s="3" t="s">
        <v>60</v>
      </c>
      <c r="CU1" s="3" t="s">
        <v>61</v>
      </c>
      <c r="CV1" s="3" t="s">
        <v>62</v>
      </c>
    </row>
    <row r="2" customFormat="false" ht="15" hidden="false" customHeight="true" outlineLevel="0" collapsed="false">
      <c r="A2" s="1" t="s">
        <v>63</v>
      </c>
      <c r="B2" s="1" t="n">
        <v>2</v>
      </c>
      <c r="C2" s="1" t="s">
        <v>64</v>
      </c>
      <c r="E2" s="1" t="s">
        <v>65</v>
      </c>
      <c r="F2" s="1" t="s">
        <v>66</v>
      </c>
      <c r="G2" s="1" t="s">
        <v>67</v>
      </c>
      <c r="H2" s="1" t="n">
        <v>1986</v>
      </c>
      <c r="K2" s="1" t="s">
        <v>68</v>
      </c>
      <c r="L2" s="4" t="n">
        <f aca="true">YEAR(TODAY())-H2</f>
        <v>40</v>
      </c>
      <c r="N2" s="4" t="n">
        <f aca="true">O2+IF(AT2=1,480,0)+AA2+IF(K2="M",IF(AH2&gt;0,IF((TODAY()-AH2)/30.44&lt;6,2400,IF((TODAY()-AH2)/30.44&lt;12,1200,0)),0),0)+IF(AP2&gt;0,AP2,0)-R2-T2-S2-U2</f>
        <v>-1268.35053920181</v>
      </c>
      <c r="O2" s="4" t="n">
        <f aca="true">IF(X2=1,1200,IF(YEAR(TODAY())-H2&lt;18,0,IF(YEAR(TODAY())-H2&lt;65,300,450)))</f>
        <v>300</v>
      </c>
      <c r="P2" s="1" t="n">
        <v>1</v>
      </c>
      <c r="R2" s="4" t="n">
        <f aca="false">IF(MIN(AM2+IF(ISNUMBER(AN2),AN2,0),16000)&gt;=600,(MIN(AM2+IF(ISNUMBER(AN2),AN2,0),16000)-600)^0.8/10000*MIN(AM2+IF(ISNUMBER(AN2),AN2,0),16000),0)</f>
        <v>1508.35053920181</v>
      </c>
      <c r="S2" s="4" t="n">
        <f aca="false">IF(AB2=0,0,IF(AB2=1,30,IF(AB2=2,60,IF(AB2=3,120,IF(AB2=4,180,240)))))</f>
        <v>60</v>
      </c>
      <c r="T2" s="4" t="n">
        <f aca="false">IF(Y2&gt;0,Y2*600/MAX(1,Z2),0)</f>
        <v>0</v>
      </c>
      <c r="U2" s="4" t="n">
        <f aca="false">IF(AW2&gt;0,AW2*1000000*MAX(0,MIN(22,1+LOG10(AW2)))/100/12,0)</f>
        <v>0</v>
      </c>
      <c r="X2" s="1" t="n">
        <v>0</v>
      </c>
      <c r="Y2" s="1" t="n">
        <v>0</v>
      </c>
      <c r="Z2" s="1" t="n">
        <v>3</v>
      </c>
      <c r="AA2" s="4" t="n">
        <f aca="true">IF(K2="W",IFERROR(IF(AND(AC2&gt;0,(TODAY()-AC2)&lt;36*365.25/12),2400/((TODAY()-AC2)/30.44/6+1),0),0)+IFERROR(IF(AND(AD2&gt;0,(TODAY()-AD2)&lt;36*365.25/12),2400/((TODAY()-AD2)/30.44/6+1),0),0)+IFERROR(IF(AND(AE2&gt;0,(TODAY()-AE2)&lt;36*365.25/12),2400/((TODAY()-AE2)/30.44/6+1),0),0)+IFERROR(IF(AND(AF2&gt;0,(TODAY()-AF2)&lt;36*365.25/12),2400/((TODAY()-AF2)/30.44/6+1),0),0)+IFERROR(IF(AND(AG2&gt;0,(TODAY()-AG2)&lt;36*365.25/12),2400/((TODAY()-AG2)/30.44/6+1),0),0),0)</f>
        <v>0</v>
      </c>
      <c r="AB2" s="4" t="n">
        <f aca="false">COUNTA(AC2:AG2)</f>
        <v>2</v>
      </c>
      <c r="AC2" s="1" t="n">
        <v>44044</v>
      </c>
      <c r="AD2" s="1" t="n">
        <v>6</v>
      </c>
      <c r="AM2" s="1" t="n">
        <v>10000</v>
      </c>
      <c r="AS2" s="1" t="n">
        <v>1</v>
      </c>
      <c r="AY2" s="1" t="n">
        <v>2</v>
      </c>
      <c r="BA2" s="1" t="s">
        <v>69</v>
      </c>
      <c r="BB2" s="1" t="s">
        <v>70</v>
      </c>
      <c r="BC2" s="1" t="n">
        <v>5</v>
      </c>
      <c r="BD2" s="1" t="s">
        <v>17</v>
      </c>
      <c r="BG2" s="1" t="n">
        <v>480</v>
      </c>
      <c r="BH2" s="1" t="n">
        <v>1200</v>
      </c>
      <c r="BI2" s="1" t="n">
        <v>600</v>
      </c>
      <c r="BJ2" s="1" t="s">
        <v>71</v>
      </c>
    </row>
    <row r="3" customFormat="false" ht="15" hidden="false" customHeight="true" outlineLevel="0" collapsed="false">
      <c r="A3" s="1" t="s">
        <v>69</v>
      </c>
      <c r="B3" s="1" t="n">
        <v>3</v>
      </c>
      <c r="C3" s="1" t="s">
        <v>64</v>
      </c>
      <c r="E3" s="4" t="s">
        <v>72</v>
      </c>
      <c r="F3" s="4" t="s">
        <v>73</v>
      </c>
      <c r="G3" s="1" t="s">
        <v>67</v>
      </c>
      <c r="H3" s="1" t="n">
        <v>1996</v>
      </c>
      <c r="K3" s="1" t="s">
        <v>74</v>
      </c>
      <c r="L3" s="4" t="n">
        <f aca="true">YEAR(TODAY())-H3</f>
        <v>30</v>
      </c>
      <c r="N3" s="4" t="n">
        <f aca="true">O3+IF(AT3=1,480,0)+AA3+IF(K3="M",IF(AH3&gt;0,IF((TODAY()-AH3)/30.44&lt;6,2400,IF((TODAY()-AH3)/30.44&lt;12,1200,0)),0),0)+IF(AP3&gt;0,AP3,0)-R3-T3-S3-U3</f>
        <v>270</v>
      </c>
      <c r="O3" s="4" t="n">
        <f aca="true">IF(X3=1,1200,IF(YEAR(TODAY())-H3&lt;18,0,IF(YEAR(TODAY())-H3&lt;65,300,450)))</f>
        <v>300</v>
      </c>
      <c r="P3" s="1" t="n">
        <v>1</v>
      </c>
      <c r="R3" s="4" t="n">
        <f aca="false">IF(MIN(AM3+IF(ISNUMBER(AN3),AN3,0),16000)&gt;=600,(MIN(AM3+IF(ISNUMBER(AN3),AN3,0),16000)-600)^0.8/10000*MIN(AM3+IF(ISNUMBER(AN3),AN3,0),16000),0)</f>
        <v>0</v>
      </c>
      <c r="S3" s="4" t="n">
        <f aca="false">IF(AB3=0,0,IF(AB3=1,30,IF(AB3=2,60,IF(AB3=3,120,IF(AB3=4,180,240)))))</f>
        <v>30</v>
      </c>
      <c r="T3" s="4" t="n">
        <f aca="false">IF(Y3&gt;0,Y3*600/MAX(1,Z3),0)</f>
        <v>0</v>
      </c>
      <c r="U3" s="4" t="n">
        <f aca="false">IF(AW3&gt;0,AW3*1000000*MAX(0,MIN(22,1+LOG10(AW3)))/100/12,0)</f>
        <v>0</v>
      </c>
      <c r="X3" s="1" t="n">
        <v>0</v>
      </c>
      <c r="Y3" s="1" t="n">
        <v>0</v>
      </c>
      <c r="Z3" s="1" t="n">
        <v>1</v>
      </c>
      <c r="AA3" s="4" t="n">
        <f aca="true">IF(K3="W",IFERROR(IF(AND(AC3&gt;0,(TODAY()-AC3)&lt;36*365.25/12),2400/((TODAY()-AC3)/30.44/6+1),0),0)+IFERROR(IF(AND(AD3&gt;0,(TODAY()-AD3)&lt;36*365.25/12),2400/((TODAY()-AD3)/30.44/6+1),0),0)+IFERROR(IF(AND(AE3&gt;0,(TODAY()-AE3)&lt;36*365.25/12),2400/((TODAY()-AE3)/30.44/6+1),0),0)+IFERROR(IF(AND(AF3&gt;0,(TODAY()-AF3)&lt;36*365.25/12),2400/((TODAY()-AF3)/30.44/6+1),0),0)+IFERROR(IF(AND(AG3&gt;0,(TODAY()-AG3)&lt;36*365.25/12),2400/((TODAY()-AG3)/30.44/6+1),0),0),0)</f>
        <v>0</v>
      </c>
      <c r="AB3" s="4" t="n">
        <f aca="false">COUNTA(AC3:AG3)</f>
        <v>1</v>
      </c>
      <c r="AC3" s="1" t="n">
        <v>3</v>
      </c>
      <c r="AM3" s="1" t="n">
        <v>0</v>
      </c>
      <c r="AS3" s="1" t="n">
        <v>0</v>
      </c>
      <c r="AY3" s="1" t="n">
        <v>3</v>
      </c>
      <c r="BA3" s="1" t="n">
        <v>2025</v>
      </c>
      <c r="BB3" s="1" t="s">
        <v>4</v>
      </c>
      <c r="BD3" s="1" t="s">
        <v>18</v>
      </c>
      <c r="BH3" s="1" t="s">
        <v>75</v>
      </c>
      <c r="BJ3" s="1" t="s">
        <v>76</v>
      </c>
      <c r="BK3" s="1" t="s">
        <v>77</v>
      </c>
      <c r="BL3" s="1" t="s">
        <v>78</v>
      </c>
      <c r="BM3" s="1" t="s">
        <v>79</v>
      </c>
      <c r="CR3" s="0" t="n">
        <v>1</v>
      </c>
      <c r="CV3" s="0" t="n">
        <v>1</v>
      </c>
    </row>
    <row r="4" customFormat="false" ht="15" hidden="false" customHeight="true" outlineLevel="0" collapsed="false">
      <c r="A4" s="1" t="n">
        <v>2026</v>
      </c>
      <c r="B4" s="1" t="n">
        <v>4</v>
      </c>
      <c r="C4" s="1" t="s">
        <v>64</v>
      </c>
      <c r="G4" s="1" t="s">
        <v>80</v>
      </c>
      <c r="H4" s="1" t="n">
        <v>2020</v>
      </c>
      <c r="K4" s="1" t="s">
        <v>68</v>
      </c>
      <c r="L4" s="4" t="n">
        <f aca="true">YEAR(TODAY())-H4</f>
        <v>6</v>
      </c>
      <c r="N4" s="4" t="n">
        <f aca="true">O4+IF(AT4=1,480,0)+AA4+IF(K4="M",IF(AH4&gt;0,IF((TODAY()-AH4)/30.44&lt;6,2400,IF((TODAY()-AH4)/30.44&lt;12,1200,0)),0),0)+IF(AP4&gt;0,AP4,0)-R4-T4-S4-U4</f>
        <v>-12.0683526730903</v>
      </c>
      <c r="O4" s="4" t="n">
        <f aca="true">IF(X4=1,1200,IF(YEAR(TODAY())-H4&lt;18,0,IF(YEAR(TODAY())-H4&lt;65,300,450)))</f>
        <v>0</v>
      </c>
      <c r="P4" s="1" t="n">
        <v>1</v>
      </c>
      <c r="R4" s="4" t="n">
        <f aca="false">IF(MIN(AM4+IF(ISNUMBER(AN4),AN4,0),16000)&gt;=600,(MIN(AM4+IF(ISNUMBER(AN4),AN4,0),16000)-600)^0.8/10000*MIN(AM4+IF(ISNUMBER(AN4),AN4,0),16000),0)</f>
        <v>12.0683526730903</v>
      </c>
      <c r="S4" s="4" t="n">
        <f aca="false">IF(AB4=0,0,IF(AB4=1,30,IF(AB4=2,60,IF(AB4=3,120,IF(AB4=4,180,240)))))</f>
        <v>0</v>
      </c>
      <c r="T4" s="4" t="n">
        <f aca="false">IF(Y4&gt;0,Y4*600/MAX(1,Z4),0)</f>
        <v>0</v>
      </c>
      <c r="U4" s="4" t="n">
        <f aca="false">IF(AW4&gt;0,AW4*1000000*MAX(0,MIN(22,1+LOG10(AW4)))/100/12,0)</f>
        <v>0</v>
      </c>
      <c r="X4" s="1" t="n">
        <v>0</v>
      </c>
      <c r="Y4" s="1" t="n">
        <v>0</v>
      </c>
      <c r="Z4" s="1" t="n">
        <v>1</v>
      </c>
      <c r="AA4" s="4" t="n">
        <f aca="true">IF(K4="W",IFERROR(IF(AND(AC4&gt;0,(TODAY()-AC4)&lt;36*365.25/12),2400/((TODAY()-AC4)/30.44/6+1),0),0)+IFERROR(IF(AND(AD4&gt;0,(TODAY()-AD4)&lt;36*365.25/12),2400/((TODAY()-AD4)/30.44/6+1),0),0)+IFERROR(IF(AND(AE4&gt;0,(TODAY()-AE4)&lt;36*365.25/12),2400/((TODAY()-AE4)/30.44/6+1),0),0)+IFERROR(IF(AND(AF4&gt;0,(TODAY()-AF4)&lt;36*365.25/12),2400/((TODAY()-AF4)/30.44/6+1),0),0)+IFERROR(IF(AND(AG4&gt;0,(TODAY()-AG4)&lt;36*365.25/12),2400/((TODAY()-AG4)/30.44/6+1),0),0),0)</f>
        <v>0</v>
      </c>
      <c r="AB4" s="4" t="n">
        <f aca="false">COUNTA(AC4:AG4)</f>
        <v>0</v>
      </c>
      <c r="AM4" s="1" t="n">
        <v>1000</v>
      </c>
      <c r="AN4" s="1" t="n">
        <v>0</v>
      </c>
      <c r="AS4" s="1" t="n">
        <v>1</v>
      </c>
      <c r="AT4" s="1" t="n">
        <v>0</v>
      </c>
      <c r="AY4" s="1" t="n">
        <v>4</v>
      </c>
      <c r="BA4" s="1" t="s">
        <v>81</v>
      </c>
      <c r="BB4" s="1" t="s">
        <v>5</v>
      </c>
      <c r="BD4" s="1" t="s">
        <v>19</v>
      </c>
      <c r="BH4" s="1" t="n">
        <v>20</v>
      </c>
      <c r="BJ4" s="1" t="n">
        <v>0</v>
      </c>
      <c r="BK4" s="1" t="n">
        <v>0</v>
      </c>
      <c r="BL4" s="1" t="n">
        <v>0</v>
      </c>
      <c r="CS4" s="1" t="n">
        <v>12</v>
      </c>
    </row>
    <row r="5" customFormat="false" ht="15" hidden="false" customHeight="true" outlineLevel="0" collapsed="false">
      <c r="A5" s="1" t="s">
        <v>81</v>
      </c>
      <c r="B5" s="1" t="n">
        <v>5</v>
      </c>
      <c r="C5" s="1" t="s">
        <v>64</v>
      </c>
      <c r="H5" s="1" t="n">
        <v>1984</v>
      </c>
      <c r="K5" s="1" t="s">
        <v>68</v>
      </c>
      <c r="L5" s="4" t="n">
        <f aca="true">YEAR(TODAY())-H5</f>
        <v>42</v>
      </c>
      <c r="N5" s="4" t="n">
        <f aca="true">O5+IF(AT5=1,480,0)+AA5+IF(K5="M",IF(AH5&gt;0,IF((TODAY()-AH5)/30.44&lt;6,2400,IF((TODAY()-AH5)/30.44&lt;12,1200,0)),0),0)+IF(AP5&gt;0,AP5,0)-R5-T5-S5-U5</f>
        <v>-164.628009977635</v>
      </c>
      <c r="O5" s="4" t="n">
        <f aca="true">IF(X5=1,1200,IF(YEAR(TODAY())-H5&lt;18,0,IF(YEAR(TODAY())-H5&lt;65,300,450)))</f>
        <v>300</v>
      </c>
      <c r="P5" s="1" t="n">
        <v>1</v>
      </c>
      <c r="R5" s="4" t="n">
        <f aca="false">IF(MIN(AM5+IF(ISNUMBER(AN5),AN5,0),16000)&gt;=600,(MIN(AM5+IF(ISNUMBER(AN5),AN5,0),16000)-600)^0.8/10000*MIN(AM5+IF(ISNUMBER(AN5),AN5,0),16000),0)</f>
        <v>194.628009977635</v>
      </c>
      <c r="S5" s="4" t="n">
        <f aca="false">IF(AB5=0,0,IF(AB5=1,30,IF(AB5=2,60,IF(AB5=3,120,IF(AB5=4,180,240)))))</f>
        <v>120</v>
      </c>
      <c r="T5" s="4" t="n">
        <f aca="false">IF(Y5&gt;0,Y5*600/MAX(1,Z5),0)</f>
        <v>150</v>
      </c>
      <c r="U5" s="4" t="n">
        <f aca="false">IF(AW5&gt;0,AW5*1000000*MAX(0,MIN(22,1+LOG10(AW5)))/100/12,0)</f>
        <v>0</v>
      </c>
      <c r="X5" s="1" t="n">
        <v>0</v>
      </c>
      <c r="Y5" s="1" t="n">
        <v>1</v>
      </c>
      <c r="Z5" s="1" t="n">
        <v>4</v>
      </c>
      <c r="AA5" s="4" t="n">
        <f aca="true">IF(K5="W",IFERROR(IF(AND(AC5&gt;0,(TODAY()-AC5)&lt;36*365.25/12),2400/((TODAY()-AC5)/30.44/6+1),0),0)+IFERROR(IF(AND(AD5&gt;0,(TODAY()-AD5)&lt;36*365.25/12),2400/((TODAY()-AD5)/30.44/6+1),0),0)+IFERROR(IF(AND(AE5&gt;0,(TODAY()-AE5)&lt;36*365.25/12),2400/((TODAY()-AE5)/30.44/6+1),0),0)+IFERROR(IF(AND(AF5&gt;0,(TODAY()-AF5)&lt;36*365.25/12),2400/((TODAY()-AF5)/30.44/6+1),0),0)+IFERROR(IF(AND(AG5&gt;0,(TODAY()-AG5)&lt;36*365.25/12),2400/((TODAY()-AG5)/30.44/6+1),0),0),0)</f>
        <v>0</v>
      </c>
      <c r="AB5" s="4" t="n">
        <f aca="false">COUNTA(AC5:AG5)</f>
        <v>3</v>
      </c>
      <c r="AC5" s="1" t="n">
        <v>43466</v>
      </c>
      <c r="AD5" s="1" t="n">
        <v>43435</v>
      </c>
      <c r="AE5" s="1" t="n">
        <v>44197</v>
      </c>
      <c r="AI5" s="1" t="n">
        <v>9</v>
      </c>
      <c r="AJ5" s="1" t="n">
        <v>45748</v>
      </c>
      <c r="AM5" s="1" t="n">
        <v>2000</v>
      </c>
      <c r="AN5" s="1" t="n">
        <v>1400</v>
      </c>
      <c r="AS5" s="1" t="n">
        <v>1</v>
      </c>
      <c r="AY5" s="1" t="n">
        <v>5</v>
      </c>
      <c r="BB5" s="1" t="s">
        <v>11</v>
      </c>
      <c r="BD5" s="1" t="s">
        <v>16</v>
      </c>
      <c r="BJ5" s="1" t="n">
        <v>1</v>
      </c>
      <c r="BK5" s="1" t="n">
        <v>30</v>
      </c>
    </row>
    <row r="6" customFormat="false" ht="15" hidden="false" customHeight="true" outlineLevel="0" collapsed="false">
      <c r="B6" s="1" t="n">
        <v>6</v>
      </c>
      <c r="C6" s="1" t="s">
        <v>64</v>
      </c>
      <c r="H6" s="1" t="n">
        <v>2007</v>
      </c>
      <c r="K6" s="1" t="s">
        <v>74</v>
      </c>
      <c r="L6" s="4" t="n">
        <f aca="true">YEAR(TODAY())-H6</f>
        <v>19</v>
      </c>
      <c r="N6" s="4" t="n">
        <f aca="true">O6+IF(AT6=1,480,0)+AA6+IF(K6="M",IF(AH6&gt;0,IF((TODAY()-AH6)/30.44&lt;6,2400,IF((TODAY()-AH6)/30.44&lt;12,1200,0)),0),0)+IF(AP6&gt;0,AP6,0)-R6-T6-S6-U6</f>
        <v>300</v>
      </c>
      <c r="O6" s="4" t="n">
        <f aca="true">IF(X6=1,1200,IF(YEAR(TODAY())-H6&lt;18,0,IF(YEAR(TODAY())-H6&lt;65,300,450)))</f>
        <v>300</v>
      </c>
      <c r="P6" s="1" t="n">
        <v>1</v>
      </c>
      <c r="R6" s="4" t="n">
        <f aca="false">IF(MIN(AM6+IF(ISNUMBER(AN6),AN6,0),16000)&gt;=600,(MIN(AM6+IF(ISNUMBER(AN6),AN6,0),16000)-600)^0.8/10000*MIN(AM6+IF(ISNUMBER(AN6),AN6,0),16000),0)</f>
        <v>0</v>
      </c>
      <c r="S6" s="4" t="n">
        <f aca="false">IF(AB6=0,0,IF(AB6=1,30,IF(AB6=2,60,IF(AB6=3,120,IF(AB6=4,180,240)))))</f>
        <v>0</v>
      </c>
      <c r="T6" s="4" t="n">
        <f aca="false">IF(Y6&gt;0,Y6*600/MAX(1,Z6),0)</f>
        <v>0</v>
      </c>
      <c r="U6" s="4" t="n">
        <f aca="false">IF(AW6&gt;0,AW6*1000000*MAX(0,MIN(22,1+LOG10(AW6)))/100/12,0)</f>
        <v>0</v>
      </c>
      <c r="X6" s="1" t="n">
        <v>0</v>
      </c>
      <c r="Y6" s="1" t="n">
        <v>0</v>
      </c>
      <c r="Z6" s="1" t="n">
        <v>1</v>
      </c>
      <c r="AA6" s="4" t="n">
        <f aca="true">IF(K6="W",IFERROR(IF(AND(AC6&gt;0,(TODAY()-AC6)&lt;36*365.25/12),2400/((TODAY()-AC6)/30.44/6+1),0),0)+IFERROR(IF(AND(AD6&gt;0,(TODAY()-AD6)&lt;36*365.25/12),2400/((TODAY()-AD6)/30.44/6+1),0),0)+IFERROR(IF(AND(AE6&gt;0,(TODAY()-AE6)&lt;36*365.25/12),2400/((TODAY()-AE6)/30.44/6+1),0),0)+IFERROR(IF(AND(AF6&gt;0,(TODAY()-AF6)&lt;36*365.25/12),2400/((TODAY()-AF6)/30.44/6+1),0),0)+IFERROR(IF(AND(AG6&gt;0,(TODAY()-AG6)&lt;36*365.25/12),2400/((TODAY()-AG6)/30.44/6+1),0),0),0)</f>
        <v>0</v>
      </c>
      <c r="AB6" s="4" t="n">
        <f aca="false">COUNTA(AC6:AG6)</f>
        <v>0</v>
      </c>
      <c r="AM6" s="1" t="n">
        <v>0</v>
      </c>
      <c r="AS6" s="1" t="n">
        <v>0</v>
      </c>
      <c r="AY6" s="1" t="n">
        <v>6</v>
      </c>
      <c r="BA6" s="1" t="s">
        <v>82</v>
      </c>
      <c r="BB6" s="1" t="s">
        <v>83</v>
      </c>
      <c r="BD6" s="1" t="s">
        <v>84</v>
      </c>
      <c r="BJ6" s="1" t="n">
        <v>2</v>
      </c>
      <c r="BK6" s="1" t="n">
        <v>60</v>
      </c>
    </row>
    <row r="7" customFormat="false" ht="15" hidden="false" customHeight="true" outlineLevel="0" collapsed="false">
      <c r="B7" s="1" t="n">
        <v>7</v>
      </c>
      <c r="C7" s="1" t="s">
        <v>64</v>
      </c>
      <c r="H7" s="1" t="n">
        <v>1954</v>
      </c>
      <c r="K7" s="1" t="s">
        <v>74</v>
      </c>
      <c r="L7" s="4" t="n">
        <f aca="true">YEAR(TODAY())-H7</f>
        <v>72</v>
      </c>
      <c r="N7" s="4" t="n">
        <f aca="true">O7+IF(AT7=1,480,0)+AA7+IF(K7="M",IF(AH7&gt;0,IF((TODAY()-AH7)/30.44&lt;6,2400,IF((TODAY()-AH7)/30.44&lt;12,1200,0)),0),0)+IF(AP7&gt;0,AP7,0)-R7-T7-S7-U7</f>
        <v>-938.957415625756</v>
      </c>
      <c r="O7" s="4" t="n">
        <f aca="true">IF(X7=1,1200,IF(YEAR(TODAY())-H7&lt;18,0,IF(YEAR(TODAY())-H7&lt;65,300,450)))</f>
        <v>450</v>
      </c>
      <c r="P7" s="1" t="n">
        <v>1</v>
      </c>
      <c r="R7" s="4" t="n">
        <f aca="false">IF(MIN(AM7+IF(ISNUMBER(AN7),AN7,0),16000)&gt;=600,(MIN(AM7+IF(ISNUMBER(AN7),AN7,0),16000)-600)^0.8/10000*MIN(AM7+IF(ISNUMBER(AN7),AN7,0),16000),0)</f>
        <v>776.322224333764</v>
      </c>
      <c r="S7" s="4" t="n">
        <f aca="false">IF(AB7=0,0,IF(AB7=1,30,IF(AB7=2,60,IF(AB7=3,120,IF(AB7=4,180,240)))))</f>
        <v>120</v>
      </c>
      <c r="T7" s="4" t="n">
        <f aca="false">IF(Y7&gt;0,Y7*600/MAX(1,Z7),0)</f>
        <v>100</v>
      </c>
      <c r="U7" s="4" t="n">
        <f aca="false">IF(AW7&gt;0,AW7*1000000*MAX(0,MIN(22,1+LOG10(AW7)))/100/12,0)</f>
        <v>833.333333333333</v>
      </c>
      <c r="X7" s="1" t="n">
        <v>0</v>
      </c>
      <c r="Y7" s="1" t="n">
        <v>1</v>
      </c>
      <c r="Z7" s="1" t="n">
        <v>6</v>
      </c>
      <c r="AA7" s="4" t="n">
        <f aca="true">IF(K7="W",IFERROR(IF(AND(AC7&gt;0,(TODAY()-AC7)&lt;36*365.25/12),2400/((TODAY()-AC7)/30.44/6+1),0),0)+IFERROR(IF(AND(AD7&gt;0,(TODAY()-AD7)&lt;36*365.25/12),2400/((TODAY()-AD7)/30.44/6+1),0),0)+IFERROR(IF(AND(AE7&gt;0,(TODAY()-AE7)&lt;36*365.25/12),2400/((TODAY()-AE7)/30.44/6+1),0),0)+IFERROR(IF(AND(AF7&gt;0,(TODAY()-AF7)&lt;36*365.25/12),2400/((TODAY()-AF7)/30.44/6+1),0),0)+IFERROR(IF(AND(AG7&gt;0,(TODAY()-AG7)&lt;36*365.25/12),2400/((TODAY()-AG7)/30.44/6+1),0),0),0)</f>
        <v>440.698142041342</v>
      </c>
      <c r="AB7" s="4" t="n">
        <f aca="false">COUNTA(AC7:AG7)</f>
        <v>3</v>
      </c>
      <c r="AC7" s="1" t="n">
        <v>45323</v>
      </c>
      <c r="AD7" s="1" t="n">
        <v>36373</v>
      </c>
      <c r="AE7" s="1" t="n">
        <v>36220</v>
      </c>
      <c r="AM7" s="1" t="n">
        <v>5000</v>
      </c>
      <c r="AN7" s="1" t="n">
        <v>2000</v>
      </c>
      <c r="AS7" s="1" t="n">
        <v>0</v>
      </c>
      <c r="AT7" s="1" t="n">
        <v>0</v>
      </c>
      <c r="AW7" s="1" t="n">
        <v>1</v>
      </c>
      <c r="AY7" s="1" t="n">
        <v>7</v>
      </c>
      <c r="BJ7" s="1" t="n">
        <v>3</v>
      </c>
      <c r="BK7" s="1" t="n">
        <v>120</v>
      </c>
    </row>
    <row r="8" customFormat="false" ht="15" hidden="false" customHeight="true" outlineLevel="0" collapsed="false">
      <c r="A8" s="1" t="s">
        <v>85</v>
      </c>
      <c r="B8" s="1" t="n">
        <v>8</v>
      </c>
      <c r="C8" s="1" t="s">
        <v>64</v>
      </c>
      <c r="H8" s="1" t="n">
        <v>1956</v>
      </c>
      <c r="K8" s="1" t="s">
        <v>68</v>
      </c>
      <c r="L8" s="4" t="n">
        <f aca="true">YEAR(TODAY())-H8</f>
        <v>70</v>
      </c>
      <c r="N8" s="4" t="n">
        <f aca="true">O8+IF(AT8=1,480,0)+AA8+IF(K8="M",IF(AH8&gt;0,IF((TODAY()-AH8)/30.44&lt;6,2400,IF((TODAY()-AH8)/30.44&lt;12,1200,0)),0),0)+IF(AP8&gt;0,AP8,0)-R8-T8-S8-U8</f>
        <v>330</v>
      </c>
      <c r="O8" s="4" t="n">
        <f aca="true">IF(X8=1,1200,IF(YEAR(TODAY())-H8&lt;18,0,IF(YEAR(TODAY())-H8&lt;65,300,450)))</f>
        <v>450</v>
      </c>
      <c r="P8" s="1" t="n">
        <v>1</v>
      </c>
      <c r="R8" s="4" t="n">
        <f aca="false">IF(MIN(AM8+IF(ISNUMBER(AN8),AN8,0),16000)&gt;=600,(MIN(AM8+IF(ISNUMBER(AN8),AN8,0),16000)-600)^0.8/10000*MIN(AM8+IF(ISNUMBER(AN8),AN8,0),16000),0)</f>
        <v>0</v>
      </c>
      <c r="S8" s="4" t="n">
        <f aca="false">IF(AB8=0,0,IF(AB8=1,30,IF(AB8=2,60,IF(AB8=3,120,IF(AB8=4,180,240)))))</f>
        <v>120</v>
      </c>
      <c r="T8" s="4" t="n">
        <f aca="false">IF(Y8&gt;0,Y8*600/MAX(1,Z8),0)</f>
        <v>0</v>
      </c>
      <c r="U8" s="4" t="n">
        <f aca="false">IF(AW8&gt;0,AW8*1000000*MAX(0,MIN(22,1+LOG10(AW8)))/100/12,0)</f>
        <v>0</v>
      </c>
      <c r="X8" s="1" t="n">
        <v>0</v>
      </c>
      <c r="Y8" s="1" t="n">
        <v>0</v>
      </c>
      <c r="Z8" s="1" t="n">
        <v>1</v>
      </c>
      <c r="AA8" s="4" t="n">
        <f aca="true">IF(K8="W",IFERROR(IF(AND(AC8&gt;0,(TODAY()-AC8)&lt;36*365.25/12),2400/((TODAY()-AC8)/30.44/6+1),0),0)+IFERROR(IF(AND(AD8&gt;0,(TODAY()-AD8)&lt;36*365.25/12),2400/((TODAY()-AD8)/30.44/6+1),0),0)+IFERROR(IF(AND(AE8&gt;0,(TODAY()-AE8)&lt;36*365.25/12),2400/((TODAY()-AE8)/30.44/6+1),0),0)+IFERROR(IF(AND(AF8&gt;0,(TODAY()-AF8)&lt;36*365.25/12),2400/((TODAY()-AF8)/30.44/6+1),0),0)+IFERROR(IF(AND(AG8&gt;0,(TODAY()-AG8)&lt;36*365.25/12),2400/((TODAY()-AG8)/30.44/6+1),0),0),0)</f>
        <v>0</v>
      </c>
      <c r="AB8" s="4" t="n">
        <f aca="false">COUNTA(AC8:AG8)</f>
        <v>3</v>
      </c>
      <c r="AC8" s="1" t="n">
        <v>1</v>
      </c>
      <c r="AD8" s="1" t="n">
        <v>1</v>
      </c>
      <c r="AE8" s="1" t="n">
        <v>1</v>
      </c>
      <c r="AM8" s="1" t="n">
        <v>0</v>
      </c>
      <c r="AS8" s="1" t="n">
        <v>1</v>
      </c>
      <c r="AY8" s="1" t="n">
        <v>8</v>
      </c>
      <c r="BA8" s="1" t="s">
        <v>86</v>
      </c>
      <c r="BJ8" s="1" t="n">
        <v>4</v>
      </c>
      <c r="BK8" s="1" t="n">
        <v>180</v>
      </c>
    </row>
    <row r="9" customFormat="false" ht="15" hidden="false" customHeight="true" outlineLevel="0" collapsed="false">
      <c r="B9" s="1" t="n">
        <v>9</v>
      </c>
      <c r="C9" s="1" t="s">
        <v>64</v>
      </c>
      <c r="H9" s="1" t="n">
        <v>2012</v>
      </c>
      <c r="K9" s="1" t="s">
        <v>74</v>
      </c>
      <c r="L9" s="4" t="n">
        <f aca="true">YEAR(TODAY())-H9</f>
        <v>14</v>
      </c>
      <c r="N9" s="4" t="n">
        <f aca="true">O9+IF(AT9=1,480,0)+AA9+IF(K9="M",IF(AH9&gt;0,IF((TODAY()-AH9)/30.44&lt;6,2400,IF((TODAY()-AH9)/30.44&lt;12,1200,0)),0),0)+IF(AP9&gt;0,AP9,0)-R9-T9-S9-U9</f>
        <v>-211.80645828339</v>
      </c>
      <c r="O9" s="4" t="n">
        <f aca="true">IF(X9=1,1200,IF(YEAR(TODAY())-H9&lt;18,0,IF(YEAR(TODAY())-H9&lt;65,300,450)))</f>
        <v>0</v>
      </c>
      <c r="P9" s="1" t="n">
        <v>1</v>
      </c>
      <c r="R9" s="4" t="n">
        <f aca="false">IF(MIN(AM9+IF(ISNUMBER(AN9),AN9,0),16000)&gt;=600,(MIN(AM9+IF(ISNUMBER(AN9),AN9,0),16000)-600)^0.8/10000*MIN(AM9+IF(ISNUMBER(AN9),AN9,0),16000),0)</f>
        <v>151.80645828339</v>
      </c>
      <c r="S9" s="4" t="n">
        <f aca="false">IF(AB9=0,0,IF(AB9=1,30,IF(AB9=2,60,IF(AB9=3,120,IF(AB9=4,180,240)))))</f>
        <v>60</v>
      </c>
      <c r="T9" s="4" t="n">
        <f aca="false">IF(Y9&gt;0,Y9*600/MAX(1,Z9),0)</f>
        <v>0</v>
      </c>
      <c r="U9" s="4" t="n">
        <f aca="false">IF(AW9&gt;0,AW9*1000000*MAX(0,MIN(22,1+LOG10(AW9)))/100/12,0)</f>
        <v>0</v>
      </c>
      <c r="X9" s="1" t="n">
        <v>0</v>
      </c>
      <c r="Y9" s="1" t="n">
        <v>0</v>
      </c>
      <c r="Z9" s="1" t="n">
        <v>1</v>
      </c>
      <c r="AA9" s="4" t="n">
        <f aca="true">IF(K9="W",IFERROR(IF(AND(AC9&gt;0,(TODAY()-AC9)&lt;36*365.25/12),2400/((TODAY()-AC9)/30.44/6+1),0),0)+IFERROR(IF(AND(AD9&gt;0,(TODAY()-AD9)&lt;36*365.25/12),2400/((TODAY()-AD9)/30.44/6+1),0),0)+IFERROR(IF(AND(AE9&gt;0,(TODAY()-AE9)&lt;36*365.25/12),2400/((TODAY()-AE9)/30.44/6+1),0),0)+IFERROR(IF(AND(AF9&gt;0,(TODAY()-AF9)&lt;36*365.25/12),2400/((TODAY()-AF9)/30.44/6+1),0),0)+IFERROR(IF(AND(AG9&gt;0,(TODAY()-AG9)&lt;36*365.25/12),2400/((TODAY()-AG9)/30.44/6+1),0),0),0)</f>
        <v>0</v>
      </c>
      <c r="AB9" s="4" t="n">
        <f aca="false">COUNTA(AC9:AG9)</f>
        <v>2</v>
      </c>
      <c r="AC9" s="1" t="n">
        <v>1</v>
      </c>
      <c r="AD9" s="1" t="n">
        <v>1</v>
      </c>
      <c r="AI9" s="1" t="n">
        <v>5</v>
      </c>
      <c r="AJ9" s="1" t="n">
        <v>45748</v>
      </c>
      <c r="AM9" s="1" t="n">
        <v>3000</v>
      </c>
      <c r="AR9" s="1" t="n">
        <v>42005</v>
      </c>
      <c r="AS9" s="1" t="n">
        <v>0</v>
      </c>
      <c r="AY9" s="1" t="n">
        <v>9</v>
      </c>
      <c r="BJ9" s="1" t="n">
        <v>5</v>
      </c>
      <c r="BK9" s="1" t="n">
        <v>240</v>
      </c>
    </row>
    <row r="10" customFormat="false" ht="15" hidden="false" customHeight="true" outlineLevel="0" collapsed="false">
      <c r="B10" s="1" t="n">
        <v>10</v>
      </c>
      <c r="C10" s="1" t="s">
        <v>64</v>
      </c>
      <c r="E10" s="1" t="s">
        <v>87</v>
      </c>
      <c r="F10" s="1" t="s">
        <v>88</v>
      </c>
      <c r="H10" s="1" t="n">
        <v>2000</v>
      </c>
      <c r="K10" s="1" t="s">
        <v>74</v>
      </c>
      <c r="L10" s="4" t="n">
        <f aca="true">YEAR(TODAY())-H10</f>
        <v>26</v>
      </c>
      <c r="M10" s="1" t="n">
        <v>12</v>
      </c>
      <c r="N10" s="4" t="n">
        <v>780</v>
      </c>
      <c r="O10" s="4" t="n">
        <f aca="true">IF(X10=1,1200,IF(YEAR(TODAY())-H10&lt;18,0,IF(YEAR(TODAY())-H10&lt;65,300,450)))</f>
        <v>300</v>
      </c>
      <c r="P10" s="1" t="n">
        <v>1</v>
      </c>
      <c r="R10" s="4" t="n">
        <f aca="false">IF(MIN(AM10+IF(ISNUMBER(AN10),AN10,0),16000)&gt;=600,(MIN(AM10+IF(ISNUMBER(AN10),AN10,0),16000)-600)^0.8/10000*MIN(AM10+IF(ISNUMBER(AN10),AN10,0),16000),0)</f>
        <v>0</v>
      </c>
      <c r="S10" s="4" t="n">
        <f aca="false">IF(AB10=0,0,IF(AB10=1,30,IF(AB10=2,60,IF(AB10=3,120,IF(AB10=4,180,240)))))</f>
        <v>0</v>
      </c>
      <c r="T10" s="4" t="n">
        <f aca="false">IF(Y10&gt;0,Y10*600/MAX(1,Z10),0)</f>
        <v>0</v>
      </c>
      <c r="U10" s="4" t="n">
        <f aca="false">IF(AW10&gt;0,AW10*1000000*MAX(0,MIN(22,1+LOG10(AW10)))/100/12,0)</f>
        <v>0</v>
      </c>
      <c r="X10" s="1" t="n">
        <v>0</v>
      </c>
      <c r="Y10" s="1" t="n">
        <v>0</v>
      </c>
      <c r="Z10" s="1" t="n">
        <v>1</v>
      </c>
      <c r="AA10" s="4" t="n">
        <f aca="true">IF(K10="W",IFERROR(IF(AND(AC10&gt;0,(TODAY()-AC10)&lt;36*365.25/12),2400/((TODAY()-AC10)/30.44/6+1),0),0)+IFERROR(IF(AND(AD10&gt;0,(TODAY()-AD10)&lt;36*365.25/12),2400/((TODAY()-AD10)/30.44/6+1),0),0)+IFERROR(IF(AND(AE10&gt;0,(TODAY()-AE10)&lt;36*365.25/12),2400/((TODAY()-AE10)/30.44/6+1),0),0)+IFERROR(IF(AND(AF10&gt;0,(TODAY()-AF10)&lt;36*365.25/12),2400/((TODAY()-AF10)/30.44/6+1),0),0)+IFERROR(IF(AND(AG10&gt;0,(TODAY()-AG10)&lt;36*365.25/12),2400/((TODAY()-AG10)/30.44/6+1),0),0),0)</f>
        <v>0</v>
      </c>
      <c r="AB10" s="4" t="n">
        <f aca="false">COUNTA(AC10:AG10)</f>
        <v>0</v>
      </c>
      <c r="AM10" s="1" t="n">
        <v>0</v>
      </c>
      <c r="AS10" s="1" t="n">
        <v>1</v>
      </c>
      <c r="AT10" s="1" t="n">
        <v>1</v>
      </c>
      <c r="AX10" s="1" t="s">
        <v>89</v>
      </c>
      <c r="AY10" s="1" t="n">
        <v>10</v>
      </c>
      <c r="BA10" s="1" t="s">
        <v>90</v>
      </c>
      <c r="BJ10" s="1" t="n">
        <v>6</v>
      </c>
      <c r="BK10" s="1" t="n">
        <v>300</v>
      </c>
      <c r="CR10" s="1" t="n">
        <v>1</v>
      </c>
      <c r="CV10" s="1" t="n">
        <v>1</v>
      </c>
    </row>
    <row r="11" customFormat="false" ht="15" hidden="false" customHeight="true" outlineLevel="0" collapsed="false">
      <c r="A11" s="1" t="s">
        <v>91</v>
      </c>
      <c r="B11" s="1" t="n">
        <v>11</v>
      </c>
      <c r="C11" s="1" t="s">
        <v>64</v>
      </c>
      <c r="H11" s="1" t="n">
        <v>1987</v>
      </c>
      <c r="K11" s="1" t="s">
        <v>68</v>
      </c>
      <c r="L11" s="4" t="n">
        <f aca="true">YEAR(TODAY())-H11</f>
        <v>39</v>
      </c>
      <c r="N11" s="4" t="n">
        <f aca="true">O11+IF(AT11=1,480,0)+AA11+IF(K11="M",IF(AH11&gt;0,IF((TODAY()-AH11)/30.44&lt;6,2400,IF((TODAY()-AH11)/30.44&lt;12,1200,0)),0),0)+IF(AP11&gt;0,AP11,0)-R11-T11-S11-U11</f>
        <v>32.549678088431</v>
      </c>
      <c r="O11" s="4" t="n">
        <f aca="true">IF(X11=1,1200,IF(YEAR(TODAY())-H11&lt;18,0,IF(YEAR(TODAY())-H11&lt;65,300,450)))</f>
        <v>300</v>
      </c>
      <c r="P11" s="1" t="n">
        <v>1</v>
      </c>
      <c r="R11" s="4" t="n">
        <f aca="false">IF(MIN(AM11+IF(ISNUMBER(AN11),AN11,0),16000)&gt;=600,(MIN(AM11+IF(ISNUMBER(AN11),AN11,0),16000)-600)^0.8/10000*MIN(AM11+IF(ISNUMBER(AN11),AN11,0),16000),0)</f>
        <v>267.450321911569</v>
      </c>
      <c r="S11" s="4" t="n">
        <f aca="false">IF(AB11=0,0,IF(AB11=1,30,IF(AB11=2,60,IF(AB11=3,120,IF(AB11=4,180,240)))))</f>
        <v>0</v>
      </c>
      <c r="T11" s="4" t="n">
        <f aca="false">IF(Y11&gt;0,Y11*600/MAX(1,Z11),0)</f>
        <v>0</v>
      </c>
      <c r="U11" s="4" t="n">
        <f aca="false">IF(AW11&gt;0,AW11*1000000*MAX(0,MIN(22,1+LOG10(AW11)))/100/12,0)</f>
        <v>0</v>
      </c>
      <c r="X11" s="1" t="n">
        <v>0</v>
      </c>
      <c r="Y11" s="1" t="n">
        <v>0</v>
      </c>
      <c r="Z11" s="1" t="n">
        <v>1</v>
      </c>
      <c r="AA11" s="4" t="n">
        <f aca="true">IF(K11="W",IFERROR(IF(AND(AC11&gt;0,(TODAY()-AC11)&lt;36*365.25/12),2400/((TODAY()-AC11)/30.44/6+1),0),0)+IFERROR(IF(AND(AD11&gt;0,(TODAY()-AD11)&lt;36*365.25/12),2400/((TODAY()-AD11)/30.44/6+1),0),0)+IFERROR(IF(AND(AE11&gt;0,(TODAY()-AE11)&lt;36*365.25/12),2400/((TODAY()-AE11)/30.44/6+1),0),0)+IFERROR(IF(AND(AF11&gt;0,(TODAY()-AF11)&lt;36*365.25/12),2400/((TODAY()-AF11)/30.44/6+1),0),0)+IFERROR(IF(AND(AG11&gt;0,(TODAY()-AG11)&lt;36*365.25/12),2400/((TODAY()-AG11)/30.44/6+1),0),0),0)</f>
        <v>0</v>
      </c>
      <c r="AB11" s="4" t="n">
        <f aca="false">COUNTA(AC11:AG11)</f>
        <v>0</v>
      </c>
      <c r="AM11" s="1" t="n">
        <v>4000</v>
      </c>
      <c r="AR11" s="1" t="n">
        <v>36526</v>
      </c>
      <c r="AS11" s="1" t="n">
        <v>0</v>
      </c>
      <c r="AY11" s="1" t="n">
        <v>11</v>
      </c>
      <c r="BJ11" s="1" t="n">
        <v>7</v>
      </c>
      <c r="BK11" s="1" t="n">
        <v>360</v>
      </c>
    </row>
    <row r="12" customFormat="false" ht="15" hidden="false" customHeight="true" outlineLevel="0" collapsed="false">
      <c r="B12" s="1" t="n">
        <v>12</v>
      </c>
      <c r="C12" s="1" t="s">
        <v>64</v>
      </c>
      <c r="H12" s="1" t="n">
        <v>1999</v>
      </c>
      <c r="K12" s="1" t="s">
        <v>74</v>
      </c>
      <c r="L12" s="4" t="n">
        <f aca="true">YEAR(TODAY())-H12</f>
        <v>27</v>
      </c>
      <c r="N12" s="4" t="n">
        <f aca="true">O12+IF(AT12=1,480,0)+AA12+IF(K12="M",IF(AH12&gt;0,IF((TODAY()-AH12)/30.44&lt;6,2400,IF((TODAY()-AH12)/30.44&lt;12,1200,0)),0),0)+IF(AP12&gt;0,AP12,0)-R12-T12-S12-U12</f>
        <v>853.037497086275</v>
      </c>
      <c r="O12" s="4" t="n">
        <f aca="true">IF(X12=1,1200,IF(YEAR(TODAY())-H12&lt;18,0,IF(YEAR(TODAY())-H12&lt;65,300,450)))</f>
        <v>300</v>
      </c>
      <c r="P12" s="1" t="n">
        <v>1</v>
      </c>
      <c r="R12" s="4" t="n">
        <f aca="false">IF(MIN(AM12+IF(ISNUMBER(AN12),AN12,0),16000)&gt;=600,(MIN(AM12+IF(ISNUMBER(AN12),AN12,0),16000)-600)^0.8/10000*MIN(AM12+IF(ISNUMBER(AN12),AN12,0),16000),0)</f>
        <v>104.940442086409</v>
      </c>
      <c r="S12" s="4" t="n">
        <f aca="false">IF(AB12=0,0,IF(AB12=1,30,IF(AB12=2,60,IF(AB12=3,120,IF(AB12=4,180,240)))))</f>
        <v>30</v>
      </c>
      <c r="T12" s="4" t="n">
        <f aca="false">IF(Y12&gt;0,Y12*600/MAX(1,Z12),0)</f>
        <v>0</v>
      </c>
      <c r="U12" s="4" t="n">
        <f aca="false">IF(AW12&gt;0,AW12*1000000*MAX(0,MIN(22,1+LOG10(AW12)))/100/12,0)</f>
        <v>291.237501806674</v>
      </c>
      <c r="X12" s="1" t="n">
        <v>0</v>
      </c>
      <c r="Y12" s="1" t="n">
        <v>0</v>
      </c>
      <c r="Z12" s="1" t="n">
        <v>1</v>
      </c>
      <c r="AA12" s="4" t="n">
        <f aca="true">IF(K12="W",IFERROR(IF(AND(AC12&gt;0,(TODAY()-AC12)&lt;36*365.25/12),2400/((TODAY()-AC12)/30.44/6+1),0),0)+IFERROR(IF(AND(AD12&gt;0,(TODAY()-AD12)&lt;36*365.25/12),2400/((TODAY()-AD12)/30.44/6+1),0),0)+IFERROR(IF(AND(AE12&gt;0,(TODAY()-AE12)&lt;36*365.25/12),2400/((TODAY()-AE12)/30.44/6+1),0),0)+IFERROR(IF(AND(AF12&gt;0,(TODAY()-AF12)&lt;36*365.25/12),2400/((TODAY()-AF12)/30.44/6+1),0),0)+IFERROR(IF(AND(AG12&gt;0,(TODAY()-AG12)&lt;36*365.25/12),2400/((TODAY()-AG12)/30.44/6+1),0),0),0)</f>
        <v>979.215440979359</v>
      </c>
      <c r="AB12" s="4" t="n">
        <f aca="false">COUNTA(AC12:AG12)</f>
        <v>1</v>
      </c>
      <c r="AC12" s="1" t="n">
        <v>45870</v>
      </c>
      <c r="AM12" s="1" t="n">
        <v>2500</v>
      </c>
      <c r="AS12" s="1" t="n">
        <v>0</v>
      </c>
      <c r="AW12" s="1" t="n">
        <v>0.5</v>
      </c>
      <c r="AY12" s="1" t="n">
        <v>12</v>
      </c>
      <c r="BA12" s="1" t="s">
        <v>92</v>
      </c>
      <c r="BJ12" s="1" t="n">
        <v>8</v>
      </c>
      <c r="BK12" s="1" t="n">
        <v>420</v>
      </c>
    </row>
    <row r="13" customFormat="false" ht="15" hidden="false" customHeight="true" outlineLevel="0" collapsed="false">
      <c r="A13" s="1" t="s">
        <v>93</v>
      </c>
      <c r="B13" s="1" t="n">
        <v>13</v>
      </c>
      <c r="C13" s="1" t="s">
        <v>64</v>
      </c>
      <c r="H13" s="1" t="n">
        <v>1969</v>
      </c>
      <c r="K13" s="1" t="s">
        <v>74</v>
      </c>
      <c r="L13" s="4" t="n">
        <f aca="true">YEAR(TODAY())-H13</f>
        <v>57</v>
      </c>
      <c r="N13" s="4" t="n">
        <f aca="true">O13+IF(AT13=1,480,0)+AA13+IF(K13="M",IF(AH13&gt;0,IF((TODAY()-AH13)/30.44&lt;6,2400,IF((TODAY()-AH13)/30.44&lt;12,1200,0)),0),0)+IF(AP13&gt;0,AP13,0)-R13-T13-S13-U13</f>
        <v>-450.314495612761</v>
      </c>
      <c r="O13" s="4" t="n">
        <f aca="true">IF(X13=1,1200,IF(YEAR(TODAY())-H13&lt;18,0,IF(YEAR(TODAY())-H13&lt;65,300,450)))</f>
        <v>300</v>
      </c>
      <c r="P13" s="1" t="n">
        <v>1</v>
      </c>
      <c r="R13" s="4" t="n">
        <f aca="false">IF(MIN(AM13+IF(ISNUMBER(AN13),AN13,0),16000)&gt;=600,(MIN(AM13+IF(ISNUMBER(AN13),AN13,0),16000)-600)^0.8/10000*MIN(AM13+IF(ISNUMBER(AN13),AN13,0),16000),0)</f>
        <v>34.6326135332674</v>
      </c>
      <c r="S13" s="4" t="n">
        <f aca="false">IF(AB13=0,0,IF(AB13=1,30,IF(AB13=2,60,IF(AB13=3,120,IF(AB13=4,180,240)))))</f>
        <v>0</v>
      </c>
      <c r="T13" s="4" t="n">
        <f aca="false">IF(Y13&gt;0,Y13*600/MAX(1,Z13),0)</f>
        <v>0</v>
      </c>
      <c r="U13" s="4" t="n">
        <f aca="false">IF(AW13&gt;0,AW13*1000000*MAX(0,MIN(22,1+LOG10(AW13)))/100/12,0)</f>
        <v>715.681882079494</v>
      </c>
      <c r="X13" s="1" t="n">
        <v>0</v>
      </c>
      <c r="Y13" s="1" t="n">
        <v>0</v>
      </c>
      <c r="Z13" s="1" t="n">
        <v>1</v>
      </c>
      <c r="AA13" s="4" t="n">
        <f aca="true">IF(K13="W",IFERROR(IF(AND(AC13&gt;0,(TODAY()-AC13)&lt;36*365.25/12),2400/((TODAY()-AC13)/30.44/6+1),0),0)+IFERROR(IF(AND(AD13&gt;0,(TODAY()-AD13)&lt;36*365.25/12),2400/((TODAY()-AD13)/30.44/6+1),0),0)+IFERROR(IF(AND(AE13&gt;0,(TODAY()-AE13)&lt;36*365.25/12),2400/((TODAY()-AE13)/30.44/6+1),0),0)+IFERROR(IF(AND(AF13&gt;0,(TODAY()-AF13)&lt;36*365.25/12),2400/((TODAY()-AF13)/30.44/6+1),0),0)+IFERROR(IF(AND(AG13&gt;0,(TODAY()-AG13)&lt;36*365.25/12),2400/((TODAY()-AG13)/30.44/6+1),0),0),0)</f>
        <v>0</v>
      </c>
      <c r="AB13" s="4" t="n">
        <f aca="false">COUNTA(AC13:AG13)</f>
        <v>0</v>
      </c>
      <c r="AM13" s="1" t="n">
        <v>1500</v>
      </c>
      <c r="AR13" s="1" t="n">
        <v>45658</v>
      </c>
      <c r="AS13" s="1" t="n">
        <v>1</v>
      </c>
      <c r="AW13" s="1" t="n">
        <v>0.9</v>
      </c>
      <c r="AY13" s="1" t="n">
        <v>13</v>
      </c>
      <c r="BB13" s="1" t="s">
        <v>94</v>
      </c>
      <c r="BC13" s="1" t="s">
        <v>95</v>
      </c>
      <c r="BE13" s="1" t="s">
        <v>96</v>
      </c>
      <c r="BF13" s="1" t="s">
        <v>97</v>
      </c>
      <c r="BG13" s="1" t="s">
        <v>98</v>
      </c>
      <c r="BH13" s="1" t="s">
        <v>99</v>
      </c>
      <c r="BJ13" s="1" t="n">
        <v>9</v>
      </c>
      <c r="BK13" s="1" t="n">
        <v>480</v>
      </c>
    </row>
    <row r="14" customFormat="false" ht="15" hidden="false" customHeight="true" outlineLevel="0" collapsed="false">
      <c r="B14" s="1" t="n">
        <v>14</v>
      </c>
      <c r="C14" s="1" t="s">
        <v>64</v>
      </c>
      <c r="H14" s="1" t="n">
        <v>2003</v>
      </c>
      <c r="K14" s="1" t="s">
        <v>68</v>
      </c>
      <c r="L14" s="4" t="n">
        <f aca="true">YEAR(TODAY())-H14</f>
        <v>23</v>
      </c>
      <c r="N14" s="4" t="n">
        <f aca="true">O14+IF(AT14=1,480,0)+AA14+IF(K14="M",IF(AH14&gt;0,IF((TODAY()-AH14)/30.44&lt;6,2400,IF((TODAY()-AH14)/30.44&lt;12,1200,0)),0),0)+IF(AP14&gt;0,AP14,0)-R14-T14-S14-U14</f>
        <v>1200</v>
      </c>
      <c r="O14" s="4" t="n">
        <f aca="true">IF(X14=1,1200,IF(YEAR(TODAY())-H14&lt;18,0,IF(YEAR(TODAY())-H14&lt;65,300,450)))</f>
        <v>1200</v>
      </c>
      <c r="P14" s="1" t="n">
        <v>1</v>
      </c>
      <c r="R14" s="4" t="n">
        <f aca="false">IF(MIN(AM14+IF(ISNUMBER(AN14),AN14,0),16000)&gt;=600,(MIN(AM14+IF(ISNUMBER(AN14),AN14,0),16000)-600)^0.8/10000*MIN(AM14+IF(ISNUMBER(AN14),AN14,0),16000),0)</f>
        <v>0</v>
      </c>
      <c r="S14" s="4" t="n">
        <f aca="false">IF(AB14=0,0,IF(AB14=1,30,IF(AB14=2,60,IF(AB14=3,120,IF(AB14=4,180,240)))))</f>
        <v>0</v>
      </c>
      <c r="T14" s="4" t="n">
        <f aca="false">IF(Y14&gt;0,Y14*600/MAX(1,Z14),0)</f>
        <v>0</v>
      </c>
      <c r="U14" s="4" t="n">
        <f aca="false">IF(AW14&gt;0,AW14*1000000*MAX(0,MIN(22,1+LOG10(AW14)))/100/12,0)</f>
        <v>0</v>
      </c>
      <c r="X14" s="1" t="n">
        <v>1</v>
      </c>
      <c r="Y14" s="1" t="n">
        <v>0</v>
      </c>
      <c r="Z14" s="1" t="n">
        <v>1</v>
      </c>
      <c r="AA14" s="4" t="n">
        <f aca="true">IF(K14="W",IFERROR(IF(AND(AC14&gt;0,(TODAY()-AC14)&lt;36*365.25/12),2400/((TODAY()-AC14)/30.44/6+1),0),0)+IFERROR(IF(AND(AD14&gt;0,(TODAY()-AD14)&lt;36*365.25/12),2400/((TODAY()-AD14)/30.44/6+1),0),0)+IFERROR(IF(AND(AE14&gt;0,(TODAY()-AE14)&lt;36*365.25/12),2400/((TODAY()-AE14)/30.44/6+1),0),0)+IFERROR(IF(AND(AF14&gt;0,(TODAY()-AF14)&lt;36*365.25/12),2400/((TODAY()-AF14)/30.44/6+1),0),0)+IFERROR(IF(AND(AG14&gt;0,(TODAY()-AG14)&lt;36*365.25/12),2400/((TODAY()-AG14)/30.44/6+1),0),0),0)</f>
        <v>0</v>
      </c>
      <c r="AB14" s="4" t="n">
        <f aca="false">COUNTA(AC14:AG14)</f>
        <v>0</v>
      </c>
      <c r="AS14" s="1" t="n">
        <v>0</v>
      </c>
      <c r="AT14" s="1" t="n">
        <v>0</v>
      </c>
      <c r="AY14" s="1" t="n">
        <v>14</v>
      </c>
      <c r="BA14" s="1" t="s">
        <v>100</v>
      </c>
      <c r="BD14" s="1" t="s">
        <v>101</v>
      </c>
      <c r="BE14" s="1" t="s">
        <v>102</v>
      </c>
      <c r="BH14" s="1" t="s">
        <v>103</v>
      </c>
      <c r="BJ14" s="1" t="n">
        <v>10</v>
      </c>
      <c r="BK14" s="1" t="n">
        <v>540</v>
      </c>
    </row>
    <row r="15" customFormat="false" ht="15" hidden="false" customHeight="true" outlineLevel="0" collapsed="false">
      <c r="A15" s="1" t="s">
        <v>104</v>
      </c>
      <c r="B15" s="4" t="n">
        <v>15</v>
      </c>
      <c r="C15" s="1" t="s">
        <v>64</v>
      </c>
      <c r="E15" s="4" t="s">
        <v>105</v>
      </c>
      <c r="F15" s="4" t="s">
        <v>106</v>
      </c>
      <c r="G15" s="4" t="s">
        <v>107</v>
      </c>
      <c r="H15" s="4" t="n">
        <v>1988</v>
      </c>
      <c r="K15" s="4" t="s">
        <v>68</v>
      </c>
      <c r="L15" s="4" t="n">
        <f aca="true">YEAR(TODAY())-H15</f>
        <v>38</v>
      </c>
      <c r="N15" s="4" t="n">
        <f aca="true">O15+IF(AT15=1,480,0)+AA15+IF(K15="M",IF(AH15&gt;0,IF((TODAY()-AH15)/30.44&lt;6,2400,IF((TODAY()-AH15)/30.44&lt;12,1200,0)),0),0)+IF(AP15&gt;0,AP15,0)-R15-T15-S15-U15</f>
        <v>-7020.19997109321</v>
      </c>
      <c r="O15" s="4" t="n">
        <f aca="true">IF(X15=1,1200,IF(YEAR(TODAY())-H15&lt;18,0,IF(YEAR(TODAY())-H15&lt;65,300,450)))</f>
        <v>300</v>
      </c>
      <c r="P15" s="4" t="n">
        <v>1</v>
      </c>
      <c r="R15" s="4" t="n">
        <f aca="false">IF(MIN(AM15+IF(ISNUMBER(AN15),AN15,0),16000)&gt;=600,(MIN(AM15+IF(ISNUMBER(AN15),AN15,0),16000)-600)^0.8/10000*MIN(AM15+IF(ISNUMBER(AN15),AN15,0),16000),0)</f>
        <v>0</v>
      </c>
      <c r="S15" s="4" t="n">
        <f aca="false">IF(AB15=0,0,IF(AB15=1,30,IF(AB15=2,60,IF(AB15=3,120,IF(AB15=4,180,240)))))</f>
        <v>180</v>
      </c>
      <c r="T15" s="4" t="n">
        <f aca="false">IF(Y15&gt;0,Y15*600/MAX(1,Z15),0)</f>
        <v>1800</v>
      </c>
      <c r="U15" s="4" t="n">
        <f aca="false">IF(AW15&gt;0,AW15*1000000*MAX(0,MIN(22,1+LOG10(AW15)))/100/12,0)</f>
        <v>5340.19997109321</v>
      </c>
      <c r="X15" s="1" t="n">
        <v>0</v>
      </c>
      <c r="Y15" s="4" t="n">
        <v>3</v>
      </c>
      <c r="Z15" s="1" t="n">
        <v>1</v>
      </c>
      <c r="AA15" s="4" t="n">
        <f aca="true">IF(K15="W",IFERROR(IF(AND(AC15&gt;0,(TODAY()-AC15)&lt;36*365.25/12),2400/((TODAY()-AC15)/30.44/6+1),0),0)+IFERROR(IF(AND(AD15&gt;0,(TODAY()-AD15)&lt;36*365.25/12),2400/((TODAY()-AD15)/30.44/6+1),0),0)+IFERROR(IF(AND(AE15&gt;0,(TODAY()-AE15)&lt;36*365.25/12),2400/((TODAY()-AE15)/30.44/6+1),0),0)+IFERROR(IF(AND(AF15&gt;0,(TODAY()-AF15)&lt;36*365.25/12),2400/((TODAY()-AF15)/30.44/6+1),0),0)+IFERROR(IF(AND(AG15&gt;0,(TODAY()-AG15)&lt;36*365.25/12),2400/((TODAY()-AG15)/30.44/6+1),0),0),0)</f>
        <v>0</v>
      </c>
      <c r="AB15" s="4" t="n">
        <f aca="false">COUNTA(AC15:AG15)</f>
        <v>4</v>
      </c>
      <c r="AC15" s="1" t="n">
        <v>1</v>
      </c>
      <c r="AD15" s="1" t="n">
        <v>1</v>
      </c>
      <c r="AE15" s="1" t="n">
        <v>1</v>
      </c>
      <c r="AF15" s="1" t="n">
        <v>1</v>
      </c>
      <c r="AS15" s="1" t="n">
        <v>1</v>
      </c>
      <c r="AW15" s="1" t="n">
        <v>4</v>
      </c>
      <c r="AY15" s="1" t="n">
        <v>15</v>
      </c>
      <c r="BB15" s="1" t="s">
        <v>17</v>
      </c>
      <c r="BE15" s="1" t="s">
        <v>108</v>
      </c>
      <c r="BH15" s="1" t="s">
        <v>109</v>
      </c>
      <c r="CN15" s="4" t="s">
        <v>110</v>
      </c>
      <c r="CS15" s="4" t="n">
        <v>71</v>
      </c>
    </row>
    <row r="16" customFormat="false" ht="15" hidden="false" customHeight="true" outlineLevel="0" collapsed="false">
      <c r="B16" s="4" t="n">
        <v>16</v>
      </c>
      <c r="D16" s="4" t="s">
        <v>111</v>
      </c>
      <c r="E16" s="4" t="s">
        <v>112</v>
      </c>
      <c r="F16" s="4" t="s">
        <v>113</v>
      </c>
      <c r="G16" s="4" t="s">
        <v>114</v>
      </c>
      <c r="H16" s="4" t="n">
        <v>1992</v>
      </c>
      <c r="K16" s="4" t="s">
        <v>115</v>
      </c>
      <c r="L16" s="4" t="n">
        <f aca="true">YEAR(TODAY())-H16</f>
        <v>34</v>
      </c>
      <c r="N16" s="4" t="n">
        <f aca="true">O16+IF(AT16=1,480,0)+AA16+IF(K16="M",IF(AH16&gt;0,IF((TODAY()-AH16)/30.44&lt;6,2400,IF((TODAY()-AH16)/30.44&lt;12,1200,0)),0),0)+IF(AP16&gt;0,AP16,0)-R16-T16-S16-U16</f>
        <v>-3300</v>
      </c>
      <c r="O16" s="4" t="n">
        <f aca="true">IF(X16=1,1200,IF(YEAR(TODAY())-H16&lt;18,0,IF(YEAR(TODAY())-H16&lt;65,300,450)))</f>
        <v>300</v>
      </c>
      <c r="P16" s="4" t="n">
        <v>1</v>
      </c>
      <c r="R16" s="4" t="n">
        <f aca="false">IF(MIN(AM16+IF(ISNUMBER(AN16),AN16,0),16000)&gt;=600,(MIN(AM16+IF(ISNUMBER(AN16),AN16,0),16000)-600)^0.8/10000*MIN(AM16+IF(ISNUMBER(AN16),AN16,0),16000),0)</f>
        <v>0</v>
      </c>
      <c r="S16" s="4" t="n">
        <f aca="false">IF(AB16=0,0,IF(AB16=1,30,IF(AB16=2,60,IF(AB16=3,120,IF(AB16=4,180,240)))))</f>
        <v>0</v>
      </c>
      <c r="T16" s="4" t="n">
        <f aca="false">IF(Y16&gt;0,Y16*600/MAX(1,Z16),0)</f>
        <v>3600</v>
      </c>
      <c r="U16" s="4" t="n">
        <f aca="false">IF(AW16&gt;0,AW16*1000000*MAX(0,MIN(22,1+LOG10(AW16)))/100/12,0)</f>
        <v>0</v>
      </c>
      <c r="Y16" s="4" t="n">
        <v>6</v>
      </c>
      <c r="Z16" s="4" t="n">
        <v>1</v>
      </c>
      <c r="AA16" s="4" t="n">
        <f aca="true">IF(K16="W",IFERROR(IF(AND(AC16&gt;0,(TODAY()-AC16)&lt;36*365.25/12),2400/((TODAY()-AC16)/30.44/6+1),0),0)+IFERROR(IF(AND(AD16&gt;0,(TODAY()-AD16)&lt;36*365.25/12),2400/((TODAY()-AD16)/30.44/6+1),0),0)+IFERROR(IF(AND(AE16&gt;0,(TODAY()-AE16)&lt;36*365.25/12),2400/((TODAY()-AE16)/30.44/6+1),0),0)+IFERROR(IF(AND(AF16&gt;0,(TODAY()-AF16)&lt;36*365.25/12),2400/((TODAY()-AF16)/30.44/6+1),0),0)+IFERROR(IF(AND(AG16&gt;0,(TODAY()-AG16)&lt;36*365.25/12),2400/((TODAY()-AG16)/30.44/6+1),0),0),0)</f>
        <v>0</v>
      </c>
      <c r="AB16" s="4" t="n">
        <f aca="false">COUNTA(AC16:AG16)</f>
        <v>0</v>
      </c>
      <c r="AM16" s="4" t="n">
        <v>67</v>
      </c>
      <c r="AS16" s="1" t="n">
        <v>1</v>
      </c>
      <c r="AW16" s="1" t="n">
        <v>0</v>
      </c>
      <c r="AY16" s="1" t="n">
        <v>16</v>
      </c>
      <c r="BA16" s="1" t="s">
        <v>116</v>
      </c>
      <c r="BB16" s="1" t="s">
        <v>18</v>
      </c>
      <c r="BE16" s="1" t="s">
        <v>117</v>
      </c>
      <c r="BH16" s="1" t="s">
        <v>99</v>
      </c>
      <c r="CN16" s="4" t="s">
        <v>110</v>
      </c>
      <c r="CS16" s="4" t="n">
        <v>28.75</v>
      </c>
    </row>
    <row r="17" customFormat="false" ht="15" hidden="false" customHeight="true" outlineLevel="0" collapsed="false">
      <c r="B17" s="4" t="n">
        <v>17</v>
      </c>
      <c r="D17" s="4" t="s">
        <v>118</v>
      </c>
      <c r="E17" s="4" t="s">
        <v>119</v>
      </c>
      <c r="F17" s="4" t="s">
        <v>120</v>
      </c>
      <c r="G17" s="4" t="s">
        <v>121</v>
      </c>
      <c r="H17" s="4" t="n">
        <v>1985</v>
      </c>
      <c r="K17" s="4" t="s">
        <v>68</v>
      </c>
      <c r="L17" s="4" t="n">
        <f aca="true">YEAR(TODAY())-H17</f>
        <v>41</v>
      </c>
      <c r="N17" s="4" t="n">
        <f aca="true">O17+IF(AT17=1,480,0)+AA17+IF(K17="M",IF(AH17&gt;0,IF((TODAY()-AH17)/30.44&lt;6,2400,IF((TODAY()-AH17)/30.44&lt;12,1200,0)),0),0)+IF(AP17&gt;0,AP17,0)-R17-T17-S17-U17</f>
        <v>-3432.44473401353</v>
      </c>
      <c r="O17" s="4" t="n">
        <f aca="true">IF(X17=1,1200,IF(YEAR(TODAY())-H17&lt;18,0,IF(YEAR(TODAY())-H17&lt;65,300,450)))</f>
        <v>300</v>
      </c>
      <c r="P17" s="4" t="n">
        <v>1</v>
      </c>
      <c r="R17" s="4" t="n">
        <f aca="false">IF(MIN(AM17+IF(ISNUMBER(AN17),AN17,0),16000)&gt;=600,(MIN(AM17+IF(ISNUMBER(AN17),AN17,0),16000)-600)^0.8/10000*MIN(AM17+IF(ISNUMBER(AN17),AN17,0),16000),0)</f>
        <v>132.444734013534</v>
      </c>
      <c r="S17" s="4" t="n">
        <f aca="false">IF(AB17=0,0,IF(AB17=1,30,IF(AB17=2,60,IF(AB17=3,120,IF(AB17=4,180,240)))))</f>
        <v>0</v>
      </c>
      <c r="T17" s="4" t="n">
        <f aca="false">IF(Y17&gt;0,Y17*600/MAX(1,Z17),0)</f>
        <v>3600</v>
      </c>
      <c r="U17" s="4" t="n">
        <f aca="false">IF(AW17&gt;0,AW17*1000000*MAX(0,MIN(22,1+LOG10(AW17)))/100/12,0)</f>
        <v>0</v>
      </c>
      <c r="Y17" s="4" t="n">
        <v>6</v>
      </c>
      <c r="Z17" s="4" t="n">
        <v>1</v>
      </c>
      <c r="AA17" s="4" t="n">
        <f aca="true">IF(K17="W",IFERROR(IF(AND(AC17&gt;0,(TODAY()-AC17)&lt;36*365.25/12),2400/((TODAY()-AC17)/30.44/6+1),0),0)+IFERROR(IF(AND(AD17&gt;0,(TODAY()-AD17)&lt;36*365.25/12),2400/((TODAY()-AD17)/30.44/6+1),0),0)+IFERROR(IF(AND(AE17&gt;0,(TODAY()-AE17)&lt;36*365.25/12),2400/((TODAY()-AE17)/30.44/6+1),0),0)+IFERROR(IF(AND(AF17&gt;0,(TODAY()-AF17)&lt;36*365.25/12),2400/((TODAY()-AF17)/30.44/6+1),0),0)+IFERROR(IF(AND(AG17&gt;0,(TODAY()-AG17)&lt;36*365.25/12),2400/((TODAY()-AG17)/30.44/6+1),0),0),0)</f>
        <v>0</v>
      </c>
      <c r="AB17" s="4" t="n">
        <f aca="false">COUNTA(AC17:AG17)</f>
        <v>0</v>
      </c>
      <c r="AM17" s="4" t="n">
        <v>2803</v>
      </c>
      <c r="AS17" s="1" t="n">
        <v>0</v>
      </c>
      <c r="AX17" s="4" t="s">
        <v>89</v>
      </c>
      <c r="AY17" s="1" t="n">
        <v>17</v>
      </c>
      <c r="BB17" s="1" t="s">
        <v>19</v>
      </c>
      <c r="BE17" s="1" t="s">
        <v>122</v>
      </c>
      <c r="BJ17" s="1" t="s">
        <v>123</v>
      </c>
      <c r="CN17" s="4" t="s">
        <v>110</v>
      </c>
      <c r="CS17" s="4" t="n">
        <v>5</v>
      </c>
    </row>
    <row r="18" customFormat="false" ht="15" hidden="false" customHeight="true" outlineLevel="0" collapsed="false">
      <c r="A18" s="1" t="s">
        <v>124</v>
      </c>
      <c r="B18" s="4" t="n">
        <v>18</v>
      </c>
      <c r="E18" s="4" t="s">
        <v>125</v>
      </c>
      <c r="F18" s="4" t="s">
        <v>126</v>
      </c>
      <c r="G18" s="4" t="s">
        <v>127</v>
      </c>
      <c r="H18" s="4" t="n">
        <v>1996</v>
      </c>
      <c r="K18" s="4" t="s">
        <v>115</v>
      </c>
      <c r="L18" s="4" t="n">
        <f aca="true">YEAR(TODAY())-H18</f>
        <v>30</v>
      </c>
      <c r="N18" s="4" t="n">
        <f aca="true">O18+IF(AT18=1,480,0)+AA18+IF(K18="M",IF(AH18&gt;0,IF((TODAY()-AH18)/30.44&lt;6,2400,IF((TODAY()-AH18)/30.44&lt;12,1200,0)),0),0)+IF(AP18&gt;0,AP18,0)-R18-T18-S18-U18</f>
        <v>-3300</v>
      </c>
      <c r="O18" s="4" t="n">
        <f aca="true">IF(X18=1,1200,IF(YEAR(TODAY())-H18&lt;18,0,IF(YEAR(TODAY())-H18&lt;65,300,450)))</f>
        <v>300</v>
      </c>
      <c r="P18" s="4" t="n">
        <v>1</v>
      </c>
      <c r="R18" s="4" t="n">
        <f aca="false">IF(MIN(AM18+IF(ISNUMBER(AN18),AN18,0),16000)&gt;=600,(MIN(AM18+IF(ISNUMBER(AN18),AN18,0),16000)-600)^0.8/10000*MIN(AM18+IF(ISNUMBER(AN18),AN18,0),16000),0)</f>
        <v>0</v>
      </c>
      <c r="S18" s="4" t="n">
        <f aca="false">IF(AB18=0,0,IF(AB18=1,30,IF(AB18=2,60,IF(AB18=3,120,IF(AB18=4,180,240)))))</f>
        <v>0</v>
      </c>
      <c r="T18" s="4" t="n">
        <f aca="false">IF(Y18&gt;0,Y18*600/MAX(1,Z18),0)</f>
        <v>3600</v>
      </c>
      <c r="U18" s="4" t="n">
        <f aca="false">IF(AW18&gt;0,AW18*1000000*MAX(0,MIN(22,1+LOG10(AW18)))/100/12,0)</f>
        <v>0</v>
      </c>
      <c r="Y18" s="4" t="n">
        <v>6</v>
      </c>
      <c r="Z18" s="1" t="n">
        <v>1</v>
      </c>
      <c r="AA18" s="4" t="n">
        <f aca="true">IF(K18="W",IFERROR(IF(AND(AC18&gt;0,(TODAY()-AC18)&lt;36*365.25/12),2400/((TODAY()-AC18)/30.44/6+1),0),0)+IFERROR(IF(AND(AD18&gt;0,(TODAY()-AD18)&lt;36*365.25/12),2400/((TODAY()-AD18)/30.44/6+1),0),0)+IFERROR(IF(AND(AE18&gt;0,(TODAY()-AE18)&lt;36*365.25/12),2400/((TODAY()-AE18)/30.44/6+1),0),0)+IFERROR(IF(AND(AF18&gt;0,(TODAY()-AF18)&lt;36*365.25/12),2400/((TODAY()-AF18)/30.44/6+1),0),0)+IFERROR(IF(AND(AG18&gt;0,(TODAY()-AG18)&lt;36*365.25/12),2400/((TODAY()-AG18)/30.44/6+1),0),0),0)</f>
        <v>0</v>
      </c>
      <c r="AB18" s="4" t="n">
        <f aca="false">COUNTA(AC18:AG18)</f>
        <v>0</v>
      </c>
      <c r="AX18" s="4" t="s">
        <v>128</v>
      </c>
      <c r="AY18" s="1" t="n">
        <v>18</v>
      </c>
      <c r="BB18" s="1" t="s">
        <v>20</v>
      </c>
      <c r="BE18" s="1" t="s">
        <v>25</v>
      </c>
      <c r="BJ18" s="1" t="s">
        <v>129</v>
      </c>
      <c r="BK18" s="1" t="s">
        <v>130</v>
      </c>
      <c r="BL18" s="1" t="s">
        <v>131</v>
      </c>
      <c r="BM18" s="1" t="s">
        <v>132</v>
      </c>
      <c r="BN18" s="1" t="s">
        <v>133</v>
      </c>
      <c r="CN18" s="4" t="s">
        <v>110</v>
      </c>
      <c r="CP18" s="4" t="s">
        <v>134</v>
      </c>
      <c r="CQ18" s="4" t="s">
        <v>135</v>
      </c>
      <c r="CR18" s="4" t="n">
        <v>1</v>
      </c>
      <c r="CS18" s="4" t="n">
        <v>0</v>
      </c>
    </row>
    <row r="19" customFormat="false" ht="15" hidden="false" customHeight="true" outlineLevel="0" collapsed="false">
      <c r="A19" s="4" t="n">
        <v>0</v>
      </c>
      <c r="B19" s="4" t="n">
        <v>19</v>
      </c>
      <c r="E19" s="4" t="s">
        <v>136</v>
      </c>
      <c r="F19" s="4" t="s">
        <v>137</v>
      </c>
      <c r="G19" s="4" t="s">
        <v>138</v>
      </c>
      <c r="H19" s="4" t="n">
        <v>1980</v>
      </c>
      <c r="K19" s="4" t="s">
        <v>68</v>
      </c>
      <c r="L19" s="4" t="n">
        <f aca="true">YEAR(TODAY())-H19</f>
        <v>46</v>
      </c>
      <c r="N19" s="4" t="n">
        <f aca="true">O19+IF(AT19=1,480,0)+AA19+IF(K19="M",IF(AH19&gt;0,IF((TODAY()-AH19)/30.44&lt;6,2400,IF((TODAY()-AH19)/30.44&lt;12,1200,0)),0),0)+IF(AP19&gt;0,AP19,0)-R19-T19-S19-U19</f>
        <v>-2700</v>
      </c>
      <c r="O19" s="4" t="n">
        <f aca="true">IF(X19=1,1200,IF(YEAR(TODAY())-H19&lt;18,0,IF(YEAR(TODAY())-H19&lt;65,300,450)))</f>
        <v>300</v>
      </c>
      <c r="P19" s="4" t="n">
        <v>1</v>
      </c>
      <c r="R19" s="4" t="n">
        <f aca="false">IF(MIN(AM19+IF(ISNUMBER(AN19),AN19,0),16000)&gt;=600,(MIN(AM19+IF(ISNUMBER(AN19),AN19,0),16000)-600)^0.8/10000*MIN(AM19+IF(ISNUMBER(AN19),AN19,0),16000),0)</f>
        <v>0</v>
      </c>
      <c r="S19" s="4" t="n">
        <f aca="false">IF(AB19=0,0,IF(AB19=1,30,IF(AB19=2,60,IF(AB19=3,120,IF(AB19=4,180,240)))))</f>
        <v>0</v>
      </c>
      <c r="T19" s="4" t="n">
        <f aca="false">IF(Y19&gt;0,Y19*600/MAX(1,Z19),0)</f>
        <v>3000</v>
      </c>
      <c r="U19" s="4" t="n">
        <f aca="false">IF(AW19&gt;0,AW19*1000000*MAX(0,MIN(22,1+LOG10(AW19)))/100/12,0)</f>
        <v>0</v>
      </c>
      <c r="Y19" s="4" t="n">
        <v>5</v>
      </c>
      <c r="Z19" s="1" t="n">
        <v>1</v>
      </c>
      <c r="AA19" s="4" t="n">
        <f aca="true">IF(K19="W",IFERROR(IF(AND(AC19&gt;0,(TODAY()-AC19)&lt;36*365.25/12),2400/((TODAY()-AC19)/30.44/6+1),0),0)+IFERROR(IF(AND(AD19&gt;0,(TODAY()-AD19)&lt;36*365.25/12),2400/((TODAY()-AD19)/30.44/6+1),0),0)+IFERROR(IF(AND(AE19&gt;0,(TODAY()-AE19)&lt;36*365.25/12),2400/((TODAY()-AE19)/30.44/6+1),0),0)+IFERROR(IF(AND(AF19&gt;0,(TODAY()-AF19)&lt;36*365.25/12),2400/((TODAY()-AF19)/30.44/6+1),0),0)+IFERROR(IF(AND(AG19&gt;0,(TODAY()-AG19)&lt;36*365.25/12),2400/((TODAY()-AG19)/30.44/6+1),0),0),0)</f>
        <v>0</v>
      </c>
      <c r="AB19" s="4" t="n">
        <f aca="false">COUNTA(AC19:AG19)</f>
        <v>0</v>
      </c>
      <c r="AY19" s="1" t="n">
        <v>19</v>
      </c>
      <c r="BB19" s="1" t="s">
        <v>139</v>
      </c>
      <c r="BE19" s="1" t="s">
        <v>140</v>
      </c>
      <c r="BJ19" s="1" t="s">
        <v>141</v>
      </c>
      <c r="BK19" s="1" t="n">
        <v>10000</v>
      </c>
      <c r="BL19" s="1" t="n">
        <v>0.8</v>
      </c>
      <c r="BM19" s="1" t="n">
        <v>600</v>
      </c>
      <c r="BN19" s="1" t="n">
        <v>16000</v>
      </c>
      <c r="CN19" s="4" t="s">
        <v>110</v>
      </c>
      <c r="CS19" s="4"/>
    </row>
    <row r="20" customFormat="false" ht="15" hidden="false" customHeight="true" outlineLevel="0" collapsed="false">
      <c r="A20" s="1" t="s">
        <v>142</v>
      </c>
      <c r="B20" s="4" t="n">
        <v>20</v>
      </c>
      <c r="E20" s="4" t="s">
        <v>143</v>
      </c>
      <c r="F20" s="4" t="s">
        <v>144</v>
      </c>
      <c r="G20" s="4" t="s">
        <v>145</v>
      </c>
      <c r="H20" s="4" t="n">
        <v>1991</v>
      </c>
      <c r="K20" s="4" t="s">
        <v>115</v>
      </c>
      <c r="L20" s="4" t="n">
        <f aca="true">YEAR(TODAY())-H20</f>
        <v>35</v>
      </c>
      <c r="N20" s="4" t="n">
        <f aca="true">O20+IF(AT20=1,480,0)+AA20+IF(K20="M",IF(AH20&gt;0,IF((TODAY()-AH20)/30.44&lt;6,2400,IF((TODAY()-AH20)/30.44&lt;12,1200,0)),0),0)+IF(AP20&gt;0,AP20,0)-R20-T20-S20-U20</f>
        <v>-2100</v>
      </c>
      <c r="O20" s="4" t="n">
        <f aca="true">IF(X20=1,1200,IF(YEAR(TODAY())-H20&lt;18,0,IF(YEAR(TODAY())-H20&lt;65,300,450)))</f>
        <v>300</v>
      </c>
      <c r="P20" s="4" t="n">
        <v>1</v>
      </c>
      <c r="R20" s="4" t="n">
        <f aca="false">IF(MIN(AM20+IF(ISNUMBER(AN20),AN20,0),16000)&gt;=600,(MIN(AM20+IF(ISNUMBER(AN20),AN20,0),16000)-600)^0.8/10000*MIN(AM20+IF(ISNUMBER(AN20),AN20,0),16000),0)</f>
        <v>0</v>
      </c>
      <c r="S20" s="4" t="n">
        <f aca="false">IF(AB20=0,0,IF(AB20=1,30,IF(AB20=2,60,IF(AB20=3,120,IF(AB20=4,180,240)))))</f>
        <v>0</v>
      </c>
      <c r="T20" s="4" t="n">
        <f aca="false">IF(Y20&gt;0,Y20*600/MAX(1,Z20),0)</f>
        <v>2400</v>
      </c>
      <c r="U20" s="4" t="n">
        <f aca="false">IF(AW20&gt;0,AW20*1000000*MAX(0,MIN(22,1+LOG10(AW20)))/100/12,0)</f>
        <v>0</v>
      </c>
      <c r="Y20" s="4" t="n">
        <v>4</v>
      </c>
      <c r="Z20" s="1" t="n">
        <v>1</v>
      </c>
      <c r="AA20" s="4" t="n">
        <f aca="true">IF(K20="W",IFERROR(IF(AND(AC20&gt;0,(TODAY()-AC20)&lt;36*365.25/12),2400/((TODAY()-AC20)/30.44/6+1),0),0)+IFERROR(IF(AND(AD20&gt;0,(TODAY()-AD20)&lt;36*365.25/12),2400/((TODAY()-AD20)/30.44/6+1),0),0)+IFERROR(IF(AND(AE20&gt;0,(TODAY()-AE20)&lt;36*365.25/12),2400/((TODAY()-AE20)/30.44/6+1),0),0)+IFERROR(IF(AND(AF20&gt;0,(TODAY()-AF20)&lt;36*365.25/12),2400/((TODAY()-AF20)/30.44/6+1),0),0)+IFERROR(IF(AND(AG20&gt;0,(TODAY()-AG20)&lt;36*365.25/12),2400/((TODAY()-AG20)/30.44/6+1),0),0),0)</f>
        <v>0</v>
      </c>
      <c r="AB20" s="4" t="n">
        <f aca="false">COUNTA(AC20:AG20)</f>
        <v>0</v>
      </c>
      <c r="AY20" s="1" t="n">
        <v>20</v>
      </c>
      <c r="BA20" s="1" t="s">
        <v>146</v>
      </c>
      <c r="BB20" s="1" t="s">
        <v>147</v>
      </c>
      <c r="BE20" s="1" t="s">
        <v>32</v>
      </c>
      <c r="BJ20" s="1" t="s">
        <v>148</v>
      </c>
      <c r="BK20" s="1" t="s">
        <v>149</v>
      </c>
      <c r="BL20" s="1" t="s">
        <v>150</v>
      </c>
      <c r="BN20" s="1" t="n">
        <v>0.22</v>
      </c>
      <c r="CN20" s="4" t="s">
        <v>110</v>
      </c>
      <c r="CS20" s="4"/>
    </row>
    <row r="21" customFormat="false" ht="15" hidden="false" customHeight="true" outlineLevel="0" collapsed="false">
      <c r="B21" s="4" t="n">
        <v>21</v>
      </c>
      <c r="E21" s="4" t="s">
        <v>151</v>
      </c>
      <c r="F21" s="4" t="s">
        <v>152</v>
      </c>
      <c r="G21" s="4" t="s">
        <v>153</v>
      </c>
      <c r="H21" s="4" t="n">
        <v>1978</v>
      </c>
      <c r="K21" s="4" t="s">
        <v>68</v>
      </c>
      <c r="L21" s="4" t="n">
        <f aca="true">YEAR(TODAY())-H21</f>
        <v>48</v>
      </c>
      <c r="N21" s="4" t="n">
        <f aca="true">O21+IF(AT21=1,480,0)+AA21+IF(K21="M",IF(AH21&gt;0,IF((TODAY()-AH21)/30.44&lt;6,2400,IF((TODAY()-AH21)/30.44&lt;12,1200,0)),0),0)+IF(AP21&gt;0,AP21,0)-R21-T21-S21-U21</f>
        <v>-2700</v>
      </c>
      <c r="O21" s="4" t="n">
        <f aca="true">IF(X21=1,1200,IF(YEAR(TODAY())-H21&lt;18,0,IF(YEAR(TODAY())-H21&lt;65,300,450)))</f>
        <v>300</v>
      </c>
      <c r="P21" s="4" t="n">
        <v>1</v>
      </c>
      <c r="R21" s="4" t="n">
        <f aca="false">IF(MIN(AM21+IF(ISNUMBER(AN21),AN21,0),16000)&gt;=600,(MIN(AM21+IF(ISNUMBER(AN21),AN21,0),16000)-600)^0.8/10000*MIN(AM21+IF(ISNUMBER(AN21),AN21,0),16000),0)</f>
        <v>0</v>
      </c>
      <c r="S21" s="4" t="n">
        <f aca="false">IF(AB21=0,0,IF(AB21=1,30,IF(AB21=2,60,IF(AB21=3,120,IF(AB21=4,180,240)))))</f>
        <v>0</v>
      </c>
      <c r="T21" s="4" t="n">
        <f aca="false">IF(Y21&gt;0,Y21*600/MAX(1,Z21),0)</f>
        <v>3000</v>
      </c>
      <c r="U21" s="4" t="n">
        <f aca="false">IF(AW21&gt;0,AW21*1000000*MAX(0,MIN(22,1+LOG10(AW21)))/100/12,0)</f>
        <v>0</v>
      </c>
      <c r="Y21" s="4" t="n">
        <v>5</v>
      </c>
      <c r="Z21" s="1" t="n">
        <v>1</v>
      </c>
      <c r="AA21" s="4" t="n">
        <f aca="true">IF(K21="W",IFERROR(IF(AND(AC21&gt;0,(TODAY()-AC21)&lt;36*365.25/12),2400/((TODAY()-AC21)/30.44/6+1),0),0)+IFERROR(IF(AND(AD21&gt;0,(TODAY()-AD21)&lt;36*365.25/12),2400/((TODAY()-AD21)/30.44/6+1),0),0)+IFERROR(IF(AND(AE21&gt;0,(TODAY()-AE21)&lt;36*365.25/12),2400/((TODAY()-AE21)/30.44/6+1),0),0)+IFERROR(IF(AND(AF21&gt;0,(TODAY()-AF21)&lt;36*365.25/12),2400/((TODAY()-AF21)/30.44/6+1),0),0)+IFERROR(IF(AND(AG21&gt;0,(TODAY()-AG21)&lt;36*365.25/12),2400/((TODAY()-AG21)/30.44/6+1),0),0),0)</f>
        <v>0</v>
      </c>
      <c r="AB21" s="4" t="n">
        <f aca="false">COUNTA(AC21:AG21)</f>
        <v>0</v>
      </c>
      <c r="AY21" s="1" t="n">
        <v>21</v>
      </c>
      <c r="BJ21" s="1" t="n">
        <v>1000</v>
      </c>
      <c r="CN21" s="4" t="s">
        <v>110</v>
      </c>
      <c r="CS21" s="4" t="n">
        <v>15.5</v>
      </c>
    </row>
    <row r="22" customFormat="false" ht="15" hidden="false" customHeight="true" outlineLevel="0" collapsed="false">
      <c r="B22" s="4" t="n">
        <v>22</v>
      </c>
      <c r="E22" s="4" t="s">
        <v>154</v>
      </c>
      <c r="F22" s="4" t="s">
        <v>155</v>
      </c>
      <c r="G22" s="4" t="s">
        <v>156</v>
      </c>
      <c r="H22" s="4" t="n">
        <v>1994</v>
      </c>
      <c r="K22" s="4" t="s">
        <v>115</v>
      </c>
      <c r="L22" s="4" t="n">
        <f aca="true">YEAR(TODAY())-H22</f>
        <v>32</v>
      </c>
      <c r="N22" s="4" t="n">
        <f aca="true">O22+IF(AT22=1,480,0)+AA22+IF(K22="M",IF(AH22&gt;0,IF((TODAY()-AH22)/30.44&lt;6,2400,IF((TODAY()-AH22)/30.44&lt;12,1200,0)),0),0)+IF(AP22&gt;0,AP22,0)-R22-T22-S22-U22</f>
        <v>-3300</v>
      </c>
      <c r="O22" s="4" t="n">
        <f aca="true">IF(X22=1,1200,IF(YEAR(TODAY())-H22&lt;18,0,IF(YEAR(TODAY())-H22&lt;65,300,450)))</f>
        <v>300</v>
      </c>
      <c r="P22" s="4" t="n">
        <v>1</v>
      </c>
      <c r="R22" s="4" t="n">
        <f aca="false">IF(MIN(AM22+IF(ISNUMBER(AN22),AN22,0),16000)&gt;=600,(MIN(AM22+IF(ISNUMBER(AN22),AN22,0),16000)-600)^0.8/10000*MIN(AM22+IF(ISNUMBER(AN22),AN22,0),16000),0)</f>
        <v>0</v>
      </c>
      <c r="S22" s="4" t="n">
        <f aca="false">IF(AB22=0,0,IF(AB22=1,30,IF(AB22=2,60,IF(AB22=3,120,IF(AB22=4,180,240)))))</f>
        <v>0</v>
      </c>
      <c r="T22" s="4" t="n">
        <f aca="false">IF(Y22&gt;0,Y22*600/MAX(1,Z22),0)</f>
        <v>3600</v>
      </c>
      <c r="U22" s="4" t="n">
        <f aca="false">IF(AW22&gt;0,AW22*1000000*MAX(0,MIN(22,1+LOG10(AW22)))/100/12,0)</f>
        <v>0</v>
      </c>
      <c r="Y22" s="4" t="n">
        <v>6</v>
      </c>
      <c r="Z22" s="1" t="n">
        <v>1</v>
      </c>
      <c r="AA22" s="4" t="n">
        <f aca="true">IF(K22="W",IFERROR(IF(AND(AC22&gt;0,(TODAY()-AC22)&lt;36*365.25/12),2400/((TODAY()-AC22)/30.44/6+1),0),0)+IFERROR(IF(AND(AD22&gt;0,(TODAY()-AD22)&lt;36*365.25/12),2400/((TODAY()-AD22)/30.44/6+1),0),0)+IFERROR(IF(AND(AE22&gt;0,(TODAY()-AE22)&lt;36*365.25/12),2400/((TODAY()-AE22)/30.44/6+1),0),0)+IFERROR(IF(AND(AF22&gt;0,(TODAY()-AF22)&lt;36*365.25/12),2400/((TODAY()-AF22)/30.44/6+1),0),0)+IFERROR(IF(AND(AG22&gt;0,(TODAY()-AG22)&lt;36*365.25/12),2400/((TODAY()-AG22)/30.44/6+1),0),0),0)</f>
        <v>0</v>
      </c>
      <c r="AB22" s="4" t="n">
        <f aca="false">COUNTA(AC22:AG22)</f>
        <v>0</v>
      </c>
      <c r="AY22" s="1" t="n">
        <v>22</v>
      </c>
      <c r="BA22" s="1" t="s">
        <v>91</v>
      </c>
      <c r="CN22" s="4" t="s">
        <v>110</v>
      </c>
      <c r="CS22" s="4" t="n">
        <v>71</v>
      </c>
    </row>
    <row r="23" customFormat="false" ht="15" hidden="false" customHeight="true" outlineLevel="0" collapsed="false">
      <c r="A23" s="1" t="s">
        <v>92</v>
      </c>
      <c r="B23" s="4" t="n">
        <v>23</v>
      </c>
      <c r="E23" s="4" t="s">
        <v>157</v>
      </c>
      <c r="F23" s="4" t="s">
        <v>158</v>
      </c>
      <c r="G23" s="4" t="s">
        <v>159</v>
      </c>
      <c r="H23" s="4" t="n">
        <v>1983</v>
      </c>
      <c r="K23" s="4" t="s">
        <v>68</v>
      </c>
      <c r="L23" s="4" t="n">
        <f aca="true">YEAR(TODAY())-H23</f>
        <v>43</v>
      </c>
      <c r="N23" s="4" t="n">
        <f aca="true">O23+IF(AT23=1,480,0)+AA23+IF(K23="M",IF(AH23&gt;0,IF((TODAY()-AH23)/30.44&lt;6,2400,IF((TODAY()-AH23)/30.44&lt;12,1200,0)),0),0)+IF(AP23&gt;0,AP23,0)-R23-T23-S23-U23</f>
        <v>-3300</v>
      </c>
      <c r="O23" s="4" t="n">
        <f aca="true">IF(X23=1,1200,IF(YEAR(TODAY())-H23&lt;18,0,IF(YEAR(TODAY())-H23&lt;65,300,450)))</f>
        <v>300</v>
      </c>
      <c r="P23" s="4" t="n">
        <v>1</v>
      </c>
      <c r="R23" s="4" t="n">
        <f aca="false">IF(MIN(AM23+IF(ISNUMBER(AN23),AN23,0),16000)&gt;=600,(MIN(AM23+IF(ISNUMBER(AN23),AN23,0),16000)-600)^0.8/10000*MIN(AM23+IF(ISNUMBER(AN23),AN23,0),16000),0)</f>
        <v>0</v>
      </c>
      <c r="S23" s="4" t="n">
        <f aca="false">IF(AB23=0,0,IF(AB23=1,30,IF(AB23=2,60,IF(AB23=3,120,IF(AB23=4,180,240)))))</f>
        <v>0</v>
      </c>
      <c r="T23" s="4" t="n">
        <f aca="false">IF(Y23&gt;0,Y23*600/MAX(1,Z23),0)</f>
        <v>3600</v>
      </c>
      <c r="U23" s="4" t="n">
        <f aca="false">IF(AW23&gt;0,AW23*1000000*MAX(0,MIN(22,1+LOG10(AW23)))/100/12,0)</f>
        <v>0</v>
      </c>
      <c r="Y23" s="4" t="n">
        <v>6</v>
      </c>
      <c r="Z23" s="1" t="n">
        <v>1</v>
      </c>
      <c r="AA23" s="4" t="n">
        <f aca="true">IF(K23="W",IFERROR(IF(AND(AC23&gt;0,(TODAY()-AC23)&lt;36*365.25/12),2400/((TODAY()-AC23)/30.44/6+1),0),0)+IFERROR(IF(AND(AD23&gt;0,(TODAY()-AD23)&lt;36*365.25/12),2400/((TODAY()-AD23)/30.44/6+1),0),0)+IFERROR(IF(AND(AE23&gt;0,(TODAY()-AE23)&lt;36*365.25/12),2400/((TODAY()-AE23)/30.44/6+1),0),0)+IFERROR(IF(AND(AF23&gt;0,(TODAY()-AF23)&lt;36*365.25/12),2400/((TODAY()-AF23)/30.44/6+1),0),0)+IFERROR(IF(AND(AG23&gt;0,(TODAY()-AG23)&lt;36*365.25/12),2400/((TODAY()-AG23)/30.44/6+1),0),0),0)</f>
        <v>0</v>
      </c>
      <c r="AB23" s="4" t="n">
        <f aca="false">COUNTA(AC23:AG23)</f>
        <v>0</v>
      </c>
      <c r="AY23" s="1" t="n">
        <v>23</v>
      </c>
      <c r="CN23" s="4" t="s">
        <v>110</v>
      </c>
      <c r="CS23" s="4"/>
    </row>
    <row r="24" customFormat="false" ht="15" hidden="false" customHeight="true" outlineLevel="0" collapsed="false">
      <c r="B24" s="4" t="n">
        <v>24</v>
      </c>
      <c r="E24" s="4" t="s">
        <v>160</v>
      </c>
      <c r="F24" s="4" t="s">
        <v>161</v>
      </c>
      <c r="G24" s="4" t="s">
        <v>162</v>
      </c>
      <c r="H24" s="4" t="n">
        <v>1990</v>
      </c>
      <c r="K24" s="4" t="s">
        <v>115</v>
      </c>
      <c r="L24" s="4" t="n">
        <f aca="true">YEAR(TODAY())-H24</f>
        <v>36</v>
      </c>
      <c r="N24" s="4" t="n">
        <f aca="true">O24+IF(AT24=1,480,0)+AA24+IF(K24="M",IF(AH24&gt;0,IF((TODAY()-AH24)/30.44&lt;6,2400,IF((TODAY()-AH24)/30.44&lt;12,1200,0)),0),0)+IF(AP24&gt;0,AP24,0)-R24-T24-S24-U24</f>
        <v>-2700</v>
      </c>
      <c r="O24" s="4" t="n">
        <f aca="true">IF(X24=1,1200,IF(YEAR(TODAY())-H24&lt;18,0,IF(YEAR(TODAY())-H24&lt;65,300,450)))</f>
        <v>300</v>
      </c>
      <c r="P24" s="4" t="n">
        <v>1</v>
      </c>
      <c r="R24" s="4" t="n">
        <f aca="false">IF(MIN(AM24+IF(ISNUMBER(AN24),AN24,0),16000)&gt;=600,(MIN(AM24+IF(ISNUMBER(AN24),AN24,0),16000)-600)^0.8/10000*MIN(AM24+IF(ISNUMBER(AN24),AN24,0),16000),0)</f>
        <v>0</v>
      </c>
      <c r="S24" s="4" t="n">
        <f aca="false">IF(AB24=0,0,IF(AB24=1,30,IF(AB24=2,60,IF(AB24=3,120,IF(AB24=4,180,240)))))</f>
        <v>0</v>
      </c>
      <c r="T24" s="4" t="n">
        <f aca="false">IF(Y24&gt;0,Y24*600/MAX(1,Z24),0)</f>
        <v>3000</v>
      </c>
      <c r="U24" s="4" t="n">
        <f aca="false">IF(AW24&gt;0,AW24*1000000*MAX(0,MIN(22,1+LOG10(AW24)))/100/12,0)</f>
        <v>0</v>
      </c>
      <c r="Y24" s="4" t="n">
        <v>5</v>
      </c>
      <c r="Z24" s="1" t="n">
        <v>1</v>
      </c>
      <c r="AA24" s="4" t="n">
        <f aca="true">IF(K24="W",IFERROR(IF(AND(AC24&gt;0,(TODAY()-AC24)&lt;36*365.25/12),2400/((TODAY()-AC24)/30.44/6+1),0),0)+IFERROR(IF(AND(AD24&gt;0,(TODAY()-AD24)&lt;36*365.25/12),2400/((TODAY()-AD24)/30.44/6+1),0),0)+IFERROR(IF(AND(AE24&gt;0,(TODAY()-AE24)&lt;36*365.25/12),2400/((TODAY()-AE24)/30.44/6+1),0),0)+IFERROR(IF(AND(AF24&gt;0,(TODAY()-AF24)&lt;36*365.25/12),2400/((TODAY()-AF24)/30.44/6+1),0),0)+IFERROR(IF(AND(AG24&gt;0,(TODAY()-AG24)&lt;36*365.25/12),2400/((TODAY()-AG24)/30.44/6+1),0),0),0)</f>
        <v>0</v>
      </c>
      <c r="AB24" s="4" t="n">
        <f aca="false">COUNTA(AC24:AG24)</f>
        <v>0</v>
      </c>
      <c r="AY24" s="1" t="n">
        <v>24</v>
      </c>
      <c r="BA24" s="1" t="s">
        <v>93</v>
      </c>
      <c r="CN24" s="4" t="s">
        <v>110</v>
      </c>
      <c r="CS24" s="4" t="n">
        <v>15.5</v>
      </c>
    </row>
    <row r="25" customFormat="false" ht="15" hidden="false" customHeight="true" outlineLevel="0" collapsed="false">
      <c r="A25" s="1" t="s">
        <v>100</v>
      </c>
      <c r="B25" s="4" t="n">
        <v>25</v>
      </c>
      <c r="E25" s="4" t="s">
        <v>163</v>
      </c>
      <c r="F25" s="4" t="s">
        <v>164</v>
      </c>
      <c r="G25" s="4" t="s">
        <v>165</v>
      </c>
      <c r="H25" s="4" t="n">
        <v>1987</v>
      </c>
      <c r="K25" s="4" t="s">
        <v>68</v>
      </c>
      <c r="L25" s="4" t="n">
        <f aca="true">YEAR(TODAY())-H25</f>
        <v>39</v>
      </c>
      <c r="N25" s="4" t="n">
        <f aca="true">O25+IF(AT25=1,480,0)+AA25+IF(K25="M",IF(AH25&gt;0,IF((TODAY()-AH25)/30.44&lt;6,2400,IF((TODAY()-AH25)/30.44&lt;12,1200,0)),0),0)+IF(AP25&gt;0,AP25,0)-R25-T25-S25-U25</f>
        <v>-2100</v>
      </c>
      <c r="O25" s="4" t="n">
        <f aca="true">IF(X25=1,1200,IF(YEAR(TODAY())-H25&lt;18,0,IF(YEAR(TODAY())-H25&lt;65,300,450)))</f>
        <v>300</v>
      </c>
      <c r="P25" s="4" t="n">
        <v>1</v>
      </c>
      <c r="R25" s="4" t="n">
        <f aca="false">IF(MIN(AM25+IF(ISNUMBER(AN25),AN25,0),16000)&gt;=600,(MIN(AM25+IF(ISNUMBER(AN25),AN25,0),16000)-600)^0.8/10000*MIN(AM25+IF(ISNUMBER(AN25),AN25,0),16000),0)</f>
        <v>0</v>
      </c>
      <c r="S25" s="4" t="n">
        <f aca="false">IF(AB25=0,0,IF(AB25=1,30,IF(AB25=2,60,IF(AB25=3,120,IF(AB25=4,180,240)))))</f>
        <v>0</v>
      </c>
      <c r="T25" s="4" t="n">
        <f aca="false">IF(Y25&gt;0,Y25*600/MAX(1,Z25),0)</f>
        <v>2400</v>
      </c>
      <c r="U25" s="4" t="n">
        <f aca="false">IF(AW25&gt;0,AW25*1000000*MAX(0,MIN(22,1+LOG10(AW25)))/100/12,0)</f>
        <v>0</v>
      </c>
      <c r="Y25" s="4" t="n">
        <v>4</v>
      </c>
      <c r="Z25" s="1" t="n">
        <v>1</v>
      </c>
      <c r="AA25" s="4" t="n">
        <f aca="true">IF(K25="W",IFERROR(IF(AND(AC25&gt;0,(TODAY()-AC25)&lt;36*365.25/12),2400/((TODAY()-AC25)/30.44/6+1),0),0)+IFERROR(IF(AND(AD25&gt;0,(TODAY()-AD25)&lt;36*365.25/12),2400/((TODAY()-AD25)/30.44/6+1),0),0)+IFERROR(IF(AND(AE25&gt;0,(TODAY()-AE25)&lt;36*365.25/12),2400/((TODAY()-AE25)/30.44/6+1),0),0)+IFERROR(IF(AND(AF25&gt;0,(TODAY()-AF25)&lt;36*365.25/12),2400/((TODAY()-AF25)/30.44/6+1),0),0)+IFERROR(IF(AND(AG25&gt;0,(TODAY()-AG25)&lt;36*365.25/12),2400/((TODAY()-AG25)/30.44/6+1),0),0),0)</f>
        <v>0</v>
      </c>
      <c r="AB25" s="4" t="n">
        <f aca="false">COUNTA(AC25:AG25)</f>
        <v>0</v>
      </c>
      <c r="AY25" s="1" t="n">
        <v>25</v>
      </c>
      <c r="BA25" s="1" t="n">
        <v>20</v>
      </c>
      <c r="CN25" s="4" t="s">
        <v>110</v>
      </c>
      <c r="CS25" s="4"/>
    </row>
    <row r="26" customFormat="false" ht="15" hidden="false" customHeight="true" outlineLevel="0" collapsed="false">
      <c r="B26" s="1" t="n">
        <v>26</v>
      </c>
      <c r="L26" s="4" t="n">
        <f aca="true">YEAR(TODAY())-H26</f>
        <v>2026</v>
      </c>
      <c r="N26" s="4" t="n">
        <f aca="true">O26+IF(AT26=1,480,0)+AA26+IF(K26="M",IF(AH26&gt;0,IF((TODAY()-AH26)/30.44&lt;6,2400,IF((TODAY()-AH26)/30.44&lt;12,1200,0)),0),0)+IF(AP26&gt;0,AP26,0)-R26-T26-S26-U26</f>
        <v>450</v>
      </c>
      <c r="O26" s="4" t="n">
        <f aca="true">IF(X26=1,1200,IF(YEAR(TODAY())-H26&lt;18,0,IF(YEAR(TODAY())-H26&lt;65,300,450)))</f>
        <v>450</v>
      </c>
      <c r="R26" s="4" t="n">
        <f aca="false">IF(MIN(AM26+IF(ISNUMBER(AN26),AN26,0),16000)&gt;=600,(MIN(AM26+IF(ISNUMBER(AN26),AN26,0),16000)-600)^0.8/10000*MIN(AM26+IF(ISNUMBER(AN26),AN26,0),16000),0)</f>
        <v>0</v>
      </c>
      <c r="S26" s="4" t="n">
        <f aca="false">IF(AB26=0,0,IF(AB26=1,30,IF(AB26=2,60,IF(AB26=3,120,IF(AB26=4,180,240)))))</f>
        <v>0</v>
      </c>
      <c r="T26" s="4" t="n">
        <f aca="false">IF(Y26&gt;0,Y26*600/MAX(1,Z26),0)</f>
        <v>0</v>
      </c>
      <c r="U26" s="4" t="n">
        <f aca="false">IF(AW26&gt;0,AW26*1000000*MAX(0,MIN(22,1+LOG10(AW26)))/100/12,0)</f>
        <v>0</v>
      </c>
      <c r="Z26" s="1" t="n">
        <v>1</v>
      </c>
      <c r="AA26" s="4" t="n">
        <f aca="true">IF(K26="W",IFERROR(IF(AND(AC26&gt;0,(TODAY()-AC26)&lt;36*365.25/12),2400/((TODAY()-AC26)/30.44/6+1),0),0)+IFERROR(IF(AND(AD26&gt;0,(TODAY()-AD26)&lt;36*365.25/12),2400/((TODAY()-AD26)/30.44/6+1),0),0)+IFERROR(IF(AND(AE26&gt;0,(TODAY()-AE26)&lt;36*365.25/12),2400/((TODAY()-AE26)/30.44/6+1),0),0)+IFERROR(IF(AND(AF26&gt;0,(TODAY()-AF26)&lt;36*365.25/12),2400/((TODAY()-AF26)/30.44/6+1),0),0)+IFERROR(IF(AND(AG26&gt;0,(TODAY()-AG26)&lt;36*365.25/12),2400/((TODAY()-AG26)/30.44/6+1),0),0),0)</f>
        <v>0</v>
      </c>
      <c r="AB26" s="4" t="n">
        <f aca="false">COUNTA(AC26:AG26)</f>
        <v>0</v>
      </c>
      <c r="AY26" s="1" t="n">
        <v>26</v>
      </c>
      <c r="BA26" s="1" t="s">
        <v>104</v>
      </c>
    </row>
    <row r="27" customFormat="false" ht="15" hidden="false" customHeight="true" outlineLevel="0" collapsed="false">
      <c r="A27" s="1" t="s">
        <v>166</v>
      </c>
      <c r="B27" s="1" t="n">
        <v>27</v>
      </c>
      <c r="L27" s="4" t="n">
        <f aca="true">YEAR(TODAY())-H27</f>
        <v>2026</v>
      </c>
      <c r="N27" s="4" t="n">
        <f aca="true">O27+IF(AT27=1,480,0)+AA27+IF(K27="M",IF(AH27&gt;0,IF((TODAY()-AH27)/30.44&lt;6,2400,IF((TODAY()-AH27)/30.44&lt;12,1200,0)),0),0)+IF(AP27&gt;0,AP27,0)-R27-T27-S27-U27</f>
        <v>450</v>
      </c>
      <c r="O27" s="4" t="n">
        <f aca="true">IF(X27=1,1200,IF(YEAR(TODAY())-H27&lt;18,0,IF(YEAR(TODAY())-H27&lt;65,300,450)))</f>
        <v>450</v>
      </c>
      <c r="R27" s="4" t="n">
        <f aca="false">IF(MIN(AM27+IF(ISNUMBER(AN27),AN27,0),16000)&gt;=600,(MIN(AM27+IF(ISNUMBER(AN27),AN27,0),16000)-600)^0.8/10000*MIN(AM27+IF(ISNUMBER(AN27),AN27,0),16000),0)</f>
        <v>0</v>
      </c>
      <c r="S27" s="4" t="n">
        <f aca="false">IF(AB27=0,0,IF(AB27=1,30,IF(AB27=2,60,IF(AB27=3,120,IF(AB27=4,180,240)))))</f>
        <v>0</v>
      </c>
      <c r="T27" s="4" t="n">
        <f aca="false">IF(Y27&gt;0,Y27*600/MAX(1,Z27),0)</f>
        <v>0</v>
      </c>
      <c r="U27" s="4" t="n">
        <f aca="false">IF(AW27&gt;0,AW27*1000000*MAX(0,MIN(22,1+LOG10(AW27)))/100/12,0)</f>
        <v>0</v>
      </c>
      <c r="Z27" s="1" t="n">
        <v>1</v>
      </c>
      <c r="AA27" s="4" t="n">
        <f aca="true">IF(K27="W",IFERROR(IF(AND(AC27&gt;0,(TODAY()-AC27)&lt;36*365.25/12),2400/((TODAY()-AC27)/30.44/6+1),0),0)+IFERROR(IF(AND(AD27&gt;0,(TODAY()-AD27)&lt;36*365.25/12),2400/((TODAY()-AD27)/30.44/6+1),0),0)+IFERROR(IF(AND(AE27&gt;0,(TODAY()-AE27)&lt;36*365.25/12),2400/((TODAY()-AE27)/30.44/6+1),0),0)+IFERROR(IF(AND(AF27&gt;0,(TODAY()-AF27)&lt;36*365.25/12),2400/((TODAY()-AF27)/30.44/6+1),0),0)+IFERROR(IF(AND(AG27&gt;0,(TODAY()-AG27)&lt;36*365.25/12),2400/((TODAY()-AG27)/30.44/6+1),0),0),0)</f>
        <v>0</v>
      </c>
      <c r="AB27" s="4" t="n">
        <f aca="false">COUNTA(AC27:AG27)</f>
        <v>0</v>
      </c>
      <c r="AY27" s="1" t="n">
        <v>27</v>
      </c>
    </row>
    <row r="28" customFormat="false" ht="15" hidden="false" customHeight="true" outlineLevel="0" collapsed="false">
      <c r="B28" s="1" t="n">
        <v>28</v>
      </c>
      <c r="L28" s="4" t="n">
        <f aca="true">YEAR(TODAY())-H28</f>
        <v>2026</v>
      </c>
      <c r="N28" s="4" t="n">
        <f aca="true">O28+IF(AT28=1,480,0)+AA28+IF(K28="M",IF(AH28&gt;0,IF((TODAY()-AH28)/30.44&lt;6,2400,IF((TODAY()-AH28)/30.44&lt;12,1200,0)),0),0)+IF(AP28&gt;0,AP28,0)-R28-T28-S28-U28</f>
        <v>450</v>
      </c>
      <c r="O28" s="4" t="n">
        <f aca="true">IF(X28=1,1200,IF(YEAR(TODAY())-H28&lt;18,0,IF(YEAR(TODAY())-H28&lt;65,300,450)))</f>
        <v>450</v>
      </c>
      <c r="R28" s="4" t="n">
        <f aca="false">IF(MIN(AM28+IF(ISNUMBER(AN28),AN28,0),16000)&gt;=600,(MIN(AM28+IF(ISNUMBER(AN28),AN28,0),16000)-600)^0.8/10000*MIN(AM28+IF(ISNUMBER(AN28),AN28,0),16000),0)</f>
        <v>0</v>
      </c>
      <c r="S28" s="4" t="n">
        <f aca="false">IF(AB28=0,0,IF(AB28=1,30,IF(AB28=2,60,IF(AB28=3,120,IF(AB28=4,180,240)))))</f>
        <v>0</v>
      </c>
      <c r="T28" s="4" t="n">
        <f aca="false">IF(Y28&gt;0,Y28*600/MAX(1,Z28),0)</f>
        <v>0</v>
      </c>
      <c r="U28" s="4" t="n">
        <f aca="false">IF(AW28&gt;0,AW28*1000000*MAX(0,MIN(22,1+LOG10(AW28)))/100/12,0)</f>
        <v>0</v>
      </c>
      <c r="Z28" s="1" t="n">
        <v>1</v>
      </c>
      <c r="AA28" s="4" t="n">
        <f aca="true">IF(K28="W",IFERROR(IF(AND(AC28&gt;0,(TODAY()-AC28)&lt;36*365.25/12),2400/((TODAY()-AC28)/30.44/6+1),0),0)+IFERROR(IF(AND(AD28&gt;0,(TODAY()-AD28)&lt;36*365.25/12),2400/((TODAY()-AD28)/30.44/6+1),0),0)+IFERROR(IF(AND(AE28&gt;0,(TODAY()-AE28)&lt;36*365.25/12),2400/((TODAY()-AE28)/30.44/6+1),0),0)+IFERROR(IF(AND(AF28&gt;0,(TODAY()-AF28)&lt;36*365.25/12),2400/((TODAY()-AF28)/30.44/6+1),0),0)+IFERROR(IF(AND(AG28&gt;0,(TODAY()-AG28)&lt;36*365.25/12),2400/((TODAY()-AG28)/30.44/6+1),0),0),0)</f>
        <v>0</v>
      </c>
      <c r="AB28" s="4" t="n">
        <f aca="false">COUNTA(AC28:AG28)</f>
        <v>0</v>
      </c>
      <c r="AY28" s="1" t="n">
        <v>28</v>
      </c>
    </row>
    <row r="29" customFormat="false" ht="15" hidden="false" customHeight="true" outlineLevel="0" collapsed="false">
      <c r="A29" s="1" t="s">
        <v>167</v>
      </c>
      <c r="B29" s="1" t="n">
        <v>29</v>
      </c>
      <c r="L29" s="4" t="n">
        <f aca="true">YEAR(TODAY())-H29</f>
        <v>2026</v>
      </c>
      <c r="N29" s="4" t="n">
        <f aca="true">O29+IF(AT29=1,480,0)+AA29+IF(K29="M",IF(AH29&gt;0,IF((TODAY()-AH29)/30.44&lt;6,2400,IF((TODAY()-AH29)/30.44&lt;12,1200,0)),0),0)+IF(AP29&gt;0,AP29,0)-R29-T29-S29-U29</f>
        <v>450</v>
      </c>
      <c r="O29" s="4" t="n">
        <f aca="true">IF(X29=1,1200,IF(YEAR(TODAY())-H29&lt;18,0,IF(YEAR(TODAY())-H29&lt;65,300,450)))</f>
        <v>450</v>
      </c>
      <c r="R29" s="4" t="n">
        <f aca="false">IF(MIN(AM29+IF(ISNUMBER(AN29),AN29,0),16000)&gt;=600,(MIN(AM29+IF(ISNUMBER(AN29),AN29,0),16000)-600)^0.8/10000*MIN(AM29+IF(ISNUMBER(AN29),AN29,0),16000),0)</f>
        <v>0</v>
      </c>
      <c r="S29" s="4" t="n">
        <f aca="false">IF(AB29=0,0,IF(AB29=1,30,IF(AB29=2,60,IF(AB29=3,120,IF(AB29=4,180,240)))))</f>
        <v>0</v>
      </c>
      <c r="T29" s="4" t="n">
        <f aca="false">IF(Y29&gt;0,Y29*600/MAX(1,Z29),0)</f>
        <v>0</v>
      </c>
      <c r="U29" s="4" t="n">
        <f aca="false">IF(AW29&gt;0,AW29*1000000*MAX(0,MIN(22,1+LOG10(AW29)))/100/12,0)</f>
        <v>0</v>
      </c>
      <c r="Z29" s="1" t="n">
        <v>1</v>
      </c>
      <c r="AA29" s="4" t="n">
        <f aca="true">IF(K29="W",IFERROR(IF(AND(AC29&gt;0,(TODAY()-AC29)&lt;36*365.25/12),2400/((TODAY()-AC29)/30.44/6+1),0),0)+IFERROR(IF(AND(AD29&gt;0,(TODAY()-AD29)&lt;36*365.25/12),2400/((TODAY()-AD29)/30.44/6+1),0),0)+IFERROR(IF(AND(AE29&gt;0,(TODAY()-AE29)&lt;36*365.25/12),2400/((TODAY()-AE29)/30.44/6+1),0),0)+IFERROR(IF(AND(AF29&gt;0,(TODAY()-AF29)&lt;36*365.25/12),2400/((TODAY()-AF29)/30.44/6+1),0),0)+IFERROR(IF(AND(AG29&gt;0,(TODAY()-AG29)&lt;36*365.25/12),2400/((TODAY()-AG29)/30.44/6+1),0),0),0)</f>
        <v>0</v>
      </c>
      <c r="AB29" s="4" t="n">
        <f aca="false">COUNTA(AC29:AG29)</f>
        <v>0</v>
      </c>
      <c r="AY29" s="1" t="n">
        <v>29</v>
      </c>
      <c r="BA29" s="1" t="s">
        <v>124</v>
      </c>
    </row>
    <row r="30" customFormat="false" ht="15" hidden="false" customHeight="true" outlineLevel="0" collapsed="false">
      <c r="B30" s="1" t="n">
        <v>30</v>
      </c>
      <c r="L30" s="4" t="n">
        <f aca="true">YEAR(TODAY())-H30</f>
        <v>2026</v>
      </c>
      <c r="N30" s="4" t="n">
        <f aca="true">O30+IF(AT30=1,480,0)+AA30+IF(K30="M",IF(AH30&gt;0,IF((TODAY()-AH30)/30.44&lt;6,2400,IF((TODAY()-AH30)/30.44&lt;12,1200,0)),0),0)+IF(AP30&gt;0,AP30,0)-R30-T30-S30-U30</f>
        <v>450</v>
      </c>
      <c r="O30" s="4" t="n">
        <f aca="true">IF(X30=1,1200,IF(YEAR(TODAY())-H30&lt;18,0,IF(YEAR(TODAY())-H30&lt;65,300,450)))</f>
        <v>450</v>
      </c>
      <c r="R30" s="4" t="n">
        <f aca="false">IF(MIN(AM30+IF(ISNUMBER(AN30),AN30,0),16000)&gt;=600,(MIN(AM30+IF(ISNUMBER(AN30),AN30,0),16000)-600)^0.8/10000*MIN(AM30+IF(ISNUMBER(AN30),AN30,0),16000),0)</f>
        <v>0</v>
      </c>
      <c r="S30" s="4" t="n">
        <f aca="false">IF(AB30=0,0,IF(AB30=1,30,IF(AB30=2,60,IF(AB30=3,120,IF(AB30=4,180,240)))))</f>
        <v>0</v>
      </c>
      <c r="T30" s="4" t="n">
        <f aca="false">IF(Y30&gt;0,Y30*600/MAX(1,Z30),0)</f>
        <v>0</v>
      </c>
      <c r="U30" s="4" t="n">
        <f aca="false">IF(AW30&gt;0,AW30*1000000*MAX(0,MIN(22,1+LOG10(AW30)))/100/12,0)</f>
        <v>0</v>
      </c>
      <c r="Z30" s="1" t="n">
        <v>1</v>
      </c>
      <c r="AA30" s="4" t="n">
        <f aca="true">IF(K30="W",IFERROR(IF(AND(AC30&gt;0,(TODAY()-AC30)&lt;36*365.25/12),2400/((TODAY()-AC30)/30.44/6+1),0),0)+IFERROR(IF(AND(AD30&gt;0,(TODAY()-AD30)&lt;36*365.25/12),2400/((TODAY()-AD30)/30.44/6+1),0),0)+IFERROR(IF(AND(AE30&gt;0,(TODAY()-AE30)&lt;36*365.25/12),2400/((TODAY()-AE30)/30.44/6+1),0),0)+IFERROR(IF(AND(AF30&gt;0,(TODAY()-AF30)&lt;36*365.25/12),2400/((TODAY()-AF30)/30.44/6+1),0),0)+IFERROR(IF(AND(AG30&gt;0,(TODAY()-AG30)&lt;36*365.25/12),2400/((TODAY()-AG30)/30.44/6+1),0),0),0)</f>
        <v>0</v>
      </c>
      <c r="AB30" s="4" t="n">
        <f aca="false">COUNTA(AC30:AG30)</f>
        <v>0</v>
      </c>
      <c r="AY30" s="1" t="n">
        <v>30</v>
      </c>
      <c r="BA30" s="1" t="s">
        <v>168</v>
      </c>
    </row>
    <row r="31" customFormat="false" ht="15" hidden="false" customHeight="true" outlineLevel="0" collapsed="false">
      <c r="B31" s="1" t="n">
        <v>31</v>
      </c>
      <c r="L31" s="4" t="n">
        <f aca="true">YEAR(TODAY())-H31</f>
        <v>2026</v>
      </c>
      <c r="N31" s="4" t="n">
        <f aca="true">O31+IF(AT31=1,480,0)+AA31+IF(K31="M",IF(AH31&gt;0,IF((TODAY()-AH31)/30.44&lt;6,2400,IF((TODAY()-AH31)/30.44&lt;12,1200,0)),0),0)+IF(AP31&gt;0,AP31,0)-R31-T31-S31-U31</f>
        <v>450</v>
      </c>
      <c r="O31" s="4" t="n">
        <f aca="true">IF(X31=1,1200,IF(YEAR(TODAY())-H31&lt;18,0,IF(YEAR(TODAY())-H31&lt;65,300,450)))</f>
        <v>450</v>
      </c>
      <c r="R31" s="4" t="n">
        <f aca="false">IF(MIN(AM31+IF(ISNUMBER(AN31),AN31,0),16000)&gt;=600,(MIN(AM31+IF(ISNUMBER(AN31),AN31,0),16000)-600)^0.8/10000*MIN(AM31+IF(ISNUMBER(AN31),AN31,0),16000),0)</f>
        <v>0</v>
      </c>
      <c r="S31" s="4" t="n">
        <f aca="false">IF(AB31=0,0,IF(AB31=1,30,IF(AB31=2,60,IF(AB31=3,120,IF(AB31=4,180,240)))))</f>
        <v>0</v>
      </c>
      <c r="T31" s="4" t="n">
        <f aca="false">IF(Y31&gt;0,Y31*600/MAX(1,Z31),0)</f>
        <v>0</v>
      </c>
      <c r="U31" s="4" t="n">
        <f aca="false">IF(AW31&gt;0,AW31*1000000*MAX(0,MIN(22,1+LOG10(AW31)))/100/12,0)</f>
        <v>0</v>
      </c>
      <c r="Z31" s="1" t="n">
        <v>1</v>
      </c>
      <c r="AA31" s="4" t="n">
        <f aca="true">IF(K31="W",IFERROR(IF(AND(AC31&gt;0,(TODAY()-AC31)&lt;36*365.25/12),2400/((TODAY()-AC31)/30.44/6+1),0),0)+IFERROR(IF(AND(AD31&gt;0,(TODAY()-AD31)&lt;36*365.25/12),2400/((TODAY()-AD31)/30.44/6+1),0),0)+IFERROR(IF(AND(AE31&gt;0,(TODAY()-AE31)&lt;36*365.25/12),2400/((TODAY()-AE31)/30.44/6+1),0),0)+IFERROR(IF(AND(AF31&gt;0,(TODAY()-AF31)&lt;36*365.25/12),2400/((TODAY()-AF31)/30.44/6+1),0),0)+IFERROR(IF(AND(AG31&gt;0,(TODAY()-AG31)&lt;36*365.25/12),2400/((TODAY()-AG31)/30.44/6+1),0),0),0)</f>
        <v>0</v>
      </c>
      <c r="AB31" s="4" t="n">
        <f aca="false">COUNTA(AC31:AG31)</f>
        <v>0</v>
      </c>
      <c r="AY31" s="1" t="n">
        <v>31</v>
      </c>
      <c r="BA31" s="1" t="s">
        <v>169</v>
      </c>
      <c r="BJ31" s="1" t="s">
        <v>170</v>
      </c>
      <c r="BK31" s="1" t="s">
        <v>130</v>
      </c>
      <c r="BL31" s="1" t="s">
        <v>131</v>
      </c>
      <c r="BM31" s="1" t="s">
        <v>171</v>
      </c>
      <c r="BS31" s="1" t="s">
        <v>172</v>
      </c>
      <c r="BT31" s="1" t="s">
        <v>173</v>
      </c>
      <c r="BU31" s="1" t="s">
        <v>174</v>
      </c>
      <c r="BV31" s="1" t="s">
        <v>175</v>
      </c>
      <c r="BW31" s="1" t="s">
        <v>176</v>
      </c>
      <c r="CD31" s="1" t="s">
        <v>177</v>
      </c>
    </row>
    <row r="32" customFormat="false" ht="15" hidden="false" customHeight="true" outlineLevel="0" collapsed="false">
      <c r="A32" s="1" t="s">
        <v>116</v>
      </c>
      <c r="B32" s="1" t="n">
        <v>32</v>
      </c>
      <c r="L32" s="4" t="n">
        <f aca="true">YEAR(TODAY())-H32</f>
        <v>2026</v>
      </c>
      <c r="N32" s="4" t="n">
        <f aca="true">O32+IF(AT32=1,480,0)+AA32+IF(K32="M",IF(AH32&gt;0,IF((TODAY()-AH32)/30.44&lt;6,2400,IF((TODAY()-AH32)/30.44&lt;12,1200,0)),0),0)+IF(AP32&gt;0,AP32,0)-R32-T32-S32-U32</f>
        <v>450</v>
      </c>
      <c r="O32" s="4" t="n">
        <f aca="true">IF(X32=1,1200,IF(YEAR(TODAY())-H32&lt;18,0,IF(YEAR(TODAY())-H32&lt;65,300,450)))</f>
        <v>450</v>
      </c>
      <c r="R32" s="4" t="n">
        <f aca="false">IF(MIN(AM32+IF(ISNUMBER(AN32),AN32,0),16000)&gt;=600,(MIN(AM32+IF(ISNUMBER(AN32),AN32,0),16000)-600)^0.8/10000*MIN(AM32+IF(ISNUMBER(AN32),AN32,0),16000),0)</f>
        <v>0</v>
      </c>
      <c r="S32" s="4" t="n">
        <f aca="false">IF(AB32=0,0,IF(AB32=1,30,IF(AB32=2,60,IF(AB32=3,120,IF(AB32=4,180,240)))))</f>
        <v>0</v>
      </c>
      <c r="T32" s="4" t="n">
        <f aca="false">IF(Y32&gt;0,Y32*600/MAX(1,Z32),0)</f>
        <v>0</v>
      </c>
      <c r="U32" s="4" t="n">
        <f aca="false">IF(AW32&gt;0,AW32*1000000*MAX(0,MIN(22,1+LOG10(AW32)))/100/12,0)</f>
        <v>0</v>
      </c>
      <c r="Z32" s="1" t="n">
        <v>1</v>
      </c>
      <c r="AA32" s="4" t="n">
        <f aca="true">IF(K32="W",IFERROR(IF(AND(AC32&gt;0,(TODAY()-AC32)&lt;36*365.25/12),2400/((TODAY()-AC32)/30.44/6+1),0),0)+IFERROR(IF(AND(AD32&gt;0,(TODAY()-AD32)&lt;36*365.25/12),2400/((TODAY()-AD32)/30.44/6+1),0),0)+IFERROR(IF(AND(AE32&gt;0,(TODAY()-AE32)&lt;36*365.25/12),2400/((TODAY()-AE32)/30.44/6+1),0),0)+IFERROR(IF(AND(AF32&gt;0,(TODAY()-AF32)&lt;36*365.25/12),2400/((TODAY()-AF32)/30.44/6+1),0),0)+IFERROR(IF(AND(AG32&gt;0,(TODAY()-AG32)&lt;36*365.25/12),2400/((TODAY()-AG32)/30.44/6+1),0),0),0)</f>
        <v>0</v>
      </c>
      <c r="AB32" s="4" t="n">
        <f aca="false">COUNTA(AC32:AG32)</f>
        <v>0</v>
      </c>
      <c r="AY32" s="1" t="n">
        <v>32</v>
      </c>
      <c r="BK32" s="1" t="n">
        <v>450</v>
      </c>
      <c r="BL32" s="1" t="n">
        <v>0.4</v>
      </c>
      <c r="BM32" s="1" t="n">
        <v>500</v>
      </c>
      <c r="BS32" s="1" t="s">
        <v>178</v>
      </c>
      <c r="BT32" s="1" t="n">
        <v>6.5</v>
      </c>
      <c r="BU32" s="1" t="n">
        <v>30</v>
      </c>
      <c r="BV32" s="1" t="n">
        <v>75000</v>
      </c>
      <c r="BW32" s="1" t="n">
        <v>240</v>
      </c>
    </row>
    <row r="33" customFormat="false" ht="15" hidden="false" customHeight="true" outlineLevel="0" collapsed="false">
      <c r="B33" s="1" t="n">
        <v>33</v>
      </c>
      <c r="L33" s="4" t="n">
        <f aca="true">YEAR(TODAY())-H33</f>
        <v>2026</v>
      </c>
      <c r="N33" s="4" t="n">
        <f aca="true">O33+IF(AT33=1,480,0)+AA33+IF(K33="M",IF(AH33&gt;0,IF((TODAY()-AH33)/30.44&lt;6,2400,IF((TODAY()-AH33)/30.44&lt;12,1200,0)),0),0)+IF(AP33&gt;0,AP33,0)-R33-T33-S33-U33</f>
        <v>450</v>
      </c>
      <c r="O33" s="4" t="n">
        <f aca="true">IF(X33=1,1200,IF(YEAR(TODAY())-H33&lt;18,0,IF(YEAR(TODAY())-H33&lt;65,300,450)))</f>
        <v>450</v>
      </c>
      <c r="R33" s="4" t="n">
        <f aca="false">IF(MIN(AM33+IF(ISNUMBER(AN33),AN33,0),16000)&gt;=600,(MIN(AM33+IF(ISNUMBER(AN33),AN33,0),16000)-600)^0.8/10000*MIN(AM33+IF(ISNUMBER(AN33),AN33,0),16000),0)</f>
        <v>0</v>
      </c>
      <c r="S33" s="4" t="n">
        <f aca="false">IF(AB33=0,0,IF(AB33=1,30,IF(AB33=2,60,IF(AB33=3,120,IF(AB33=4,180,240)))))</f>
        <v>0</v>
      </c>
      <c r="T33" s="4" t="n">
        <f aca="false">IF(Y33&gt;0,Y33*600/MAX(1,Z33),0)</f>
        <v>0</v>
      </c>
      <c r="U33" s="4" t="n">
        <f aca="false">IF(AW33&gt;0,AW33*1000000*MAX(0,MIN(22,1+LOG10(AW33)))/100/12,0)</f>
        <v>0</v>
      </c>
      <c r="Z33" s="1" t="n">
        <v>1</v>
      </c>
      <c r="AA33" s="4" t="n">
        <f aca="true">IF(K33="W",IFERROR(IF(AND(AC33&gt;0,(TODAY()-AC33)&lt;36*365.25/12),2400/((TODAY()-AC33)/30.44/6+1),0),0)+IFERROR(IF(AND(AD33&gt;0,(TODAY()-AD33)&lt;36*365.25/12),2400/((TODAY()-AD33)/30.44/6+1),0),0)+IFERROR(IF(AND(AE33&gt;0,(TODAY()-AE33)&lt;36*365.25/12),2400/((TODAY()-AE33)/30.44/6+1),0),0)+IFERROR(IF(AND(AF33&gt;0,(TODAY()-AF33)&lt;36*365.25/12),2400/((TODAY()-AF33)/30.44/6+1),0),0)+IFERROR(IF(AND(AG33&gt;0,(TODAY()-AG33)&lt;36*365.25/12),2400/((TODAY()-AG33)/30.44/6+1),0),0),0)</f>
        <v>0</v>
      </c>
      <c r="AB33" s="4" t="n">
        <f aca="false">COUNTA(AC33:AG33)</f>
        <v>0</v>
      </c>
      <c r="AY33" s="1" t="n">
        <v>33</v>
      </c>
      <c r="BJ33" s="1" t="s">
        <v>179</v>
      </c>
      <c r="BK33" s="1" t="s">
        <v>180</v>
      </c>
      <c r="BL33" s="1" t="s">
        <v>181</v>
      </c>
      <c r="BM33" s="1" t="s">
        <v>182</v>
      </c>
      <c r="BS33" s="1" t="s">
        <v>183</v>
      </c>
      <c r="BT33" s="1" t="s">
        <v>184</v>
      </c>
      <c r="BU33" s="1" t="s">
        <v>185</v>
      </c>
      <c r="BV33" s="1" t="s">
        <v>186</v>
      </c>
      <c r="BW33" s="1" t="s">
        <v>187</v>
      </c>
      <c r="BX33" s="1" t="s">
        <v>188</v>
      </c>
      <c r="BY33" s="1" t="s">
        <v>189</v>
      </c>
      <c r="BZ33" s="1" t="s">
        <v>190</v>
      </c>
      <c r="CA33" s="1" t="s">
        <v>191</v>
      </c>
      <c r="CB33" s="1" t="s">
        <v>192</v>
      </c>
      <c r="CC33" s="1" t="s">
        <v>193</v>
      </c>
      <c r="CD33" s="1" t="s">
        <v>194</v>
      </c>
      <c r="CE33" s="1" t="s">
        <v>183</v>
      </c>
      <c r="CF33" s="1" t="s">
        <v>183</v>
      </c>
      <c r="CG33" s="1" t="s">
        <v>195</v>
      </c>
      <c r="CI33" s="1" t="s">
        <v>183</v>
      </c>
      <c r="CJ33" s="1" t="s">
        <v>196</v>
      </c>
      <c r="CK33" s="1" t="s">
        <v>197</v>
      </c>
      <c r="CL33" s="1" t="s">
        <v>122</v>
      </c>
      <c r="CM33" s="1" t="s">
        <v>198</v>
      </c>
    </row>
    <row r="34" customFormat="false" ht="15" hidden="false" customHeight="true" outlineLevel="0" collapsed="false">
      <c r="B34" s="1" t="n">
        <v>34</v>
      </c>
      <c r="L34" s="4" t="n">
        <f aca="true">YEAR(TODAY())-H34</f>
        <v>2026</v>
      </c>
      <c r="N34" s="4" t="n">
        <f aca="true">O34+IF(AT34=1,480,0)+AA34+IF(K34="M",IF(AH34&gt;0,IF((TODAY()-AH34)/30.44&lt;6,2400,IF((TODAY()-AH34)/30.44&lt;12,1200,0)),0),0)+IF(AP34&gt;0,AP34,0)-R34-T34-S34-U34</f>
        <v>450</v>
      </c>
      <c r="O34" s="4" t="n">
        <f aca="true">IF(X34=1,1200,IF(YEAR(TODAY())-H34&lt;18,0,IF(YEAR(TODAY())-H34&lt;65,300,450)))</f>
        <v>450</v>
      </c>
      <c r="R34" s="4" t="n">
        <f aca="false">IF(MIN(AM34+IF(ISNUMBER(AN34),AN34,0),16000)&gt;=600,(MIN(AM34+IF(ISNUMBER(AN34),AN34,0),16000)-600)^0.8/10000*MIN(AM34+IF(ISNUMBER(AN34),AN34,0),16000),0)</f>
        <v>0</v>
      </c>
      <c r="S34" s="4" t="n">
        <f aca="false">IF(AB34=0,0,IF(AB34=1,30,IF(AB34=2,60,IF(AB34=3,120,IF(AB34=4,180,240)))))</f>
        <v>0</v>
      </c>
      <c r="T34" s="4" t="n">
        <f aca="false">IF(Y34&gt;0,Y34*600/MAX(1,Z34),0)</f>
        <v>0</v>
      </c>
      <c r="U34" s="4" t="n">
        <f aca="false">IF(AW34&gt;0,AW34*1000000*MAX(0,MIN(22,1+LOG10(AW34)))/100/12,0)</f>
        <v>0</v>
      </c>
      <c r="Z34" s="1" t="n">
        <v>1</v>
      </c>
      <c r="AA34" s="4" t="n">
        <f aca="true">IF(K34="W",IFERROR(IF(AND(AC34&gt;0,(TODAY()-AC34)&lt;36*365.25/12),2400/((TODAY()-AC34)/30.44/6+1),0),0)+IFERROR(IF(AND(AD34&gt;0,(TODAY()-AD34)&lt;36*365.25/12),2400/((TODAY()-AD34)/30.44/6+1),0),0)+IFERROR(IF(AND(AE34&gt;0,(TODAY()-AE34)&lt;36*365.25/12),2400/((TODAY()-AE34)/30.44/6+1),0),0)+IFERROR(IF(AND(AF34&gt;0,(TODAY()-AF34)&lt;36*365.25/12),2400/((TODAY()-AF34)/30.44/6+1),0),0)+IFERROR(IF(AND(AG34&gt;0,(TODAY()-AG34)&lt;36*365.25/12),2400/((TODAY()-AG34)/30.44/6+1),0),0),0)</f>
        <v>0</v>
      </c>
      <c r="AB34" s="4" t="n">
        <f aca="false">COUNTA(AC34:AG34)</f>
        <v>0</v>
      </c>
      <c r="AY34" s="1" t="n">
        <v>34</v>
      </c>
      <c r="BJ34" s="1" t="n">
        <v>1000</v>
      </c>
      <c r="BR34" s="1" t="n">
        <v>3</v>
      </c>
      <c r="BS34" s="1" t="s">
        <v>199</v>
      </c>
      <c r="BT34" s="1" t="n">
        <v>250</v>
      </c>
      <c r="BU34" s="1" t="n">
        <v>12</v>
      </c>
      <c r="BY34" s="1" t="n">
        <v>1008</v>
      </c>
      <c r="CE34" s="1" t="s">
        <v>199</v>
      </c>
      <c r="CF34" s="1" t="s">
        <v>199</v>
      </c>
      <c r="CI34" s="1" t="s">
        <v>199</v>
      </c>
    </row>
    <row r="35" customFormat="false" ht="15" hidden="false" customHeight="true" outlineLevel="0" collapsed="false">
      <c r="B35" s="1" t="n">
        <v>35</v>
      </c>
      <c r="L35" s="4" t="n">
        <f aca="true">YEAR(TODAY())-H35</f>
        <v>2026</v>
      </c>
      <c r="N35" s="4" t="n">
        <f aca="true">O35+IF(AT35=1,480,0)+AA35+IF(K35="M",IF(AH35&gt;0,IF((TODAY()-AH35)/30.44&lt;6,2400,IF((TODAY()-AH35)/30.44&lt;12,1200,0)),0),0)+IF(AP35&gt;0,AP35,0)-R35-T35-S35-U35</f>
        <v>450</v>
      </c>
      <c r="O35" s="4" t="n">
        <f aca="true">IF(X35=1,1200,IF(YEAR(TODAY())-H35&lt;18,0,IF(YEAR(TODAY())-H35&lt;65,300,450)))</f>
        <v>450</v>
      </c>
      <c r="R35" s="4" t="n">
        <f aca="false">IF(MIN(AM35+IF(ISNUMBER(AN35),AN35,0),16000)&gt;=600,(MIN(AM35+IF(ISNUMBER(AN35),AN35,0),16000)-600)^0.8/10000*MIN(AM35+IF(ISNUMBER(AN35),AN35,0),16000),0)</f>
        <v>0</v>
      </c>
      <c r="S35" s="4" t="n">
        <f aca="false">IF(AB35=0,0,IF(AB35=1,30,IF(AB35=2,60,IF(AB35=3,120,IF(AB35=4,180,240)))))</f>
        <v>0</v>
      </c>
      <c r="T35" s="4" t="n">
        <f aca="false">IF(Y35&gt;0,Y35*600/MAX(1,Z35),0)</f>
        <v>0</v>
      </c>
      <c r="U35" s="4" t="n">
        <f aca="false">IF(AW35&gt;0,AW35*1000000*MAX(0,MIN(22,1+LOG10(AW35)))/100/12,0)</f>
        <v>0</v>
      </c>
      <c r="Z35" s="1" t="n">
        <v>1</v>
      </c>
      <c r="AA35" s="4" t="n">
        <f aca="true">IF(K35="W",IFERROR(IF(AND(AC35&gt;0,(TODAY()-AC35)&lt;36*365.25/12),2400/((TODAY()-AC35)/30.44/6+1),0),0)+IFERROR(IF(AND(AD35&gt;0,(TODAY()-AD35)&lt;36*365.25/12),2400/((TODAY()-AD35)/30.44/6+1),0),0)+IFERROR(IF(AND(AE35&gt;0,(TODAY()-AE35)&lt;36*365.25/12),2400/((TODAY()-AE35)/30.44/6+1),0),0)+IFERROR(IF(AND(AF35&gt;0,(TODAY()-AF35)&lt;36*365.25/12),2400/((TODAY()-AF35)/30.44/6+1),0),0)+IFERROR(IF(AND(AG35&gt;0,(TODAY()-AG35)&lt;36*365.25/12),2400/((TODAY()-AG35)/30.44/6+1),0),0),0)</f>
        <v>0</v>
      </c>
      <c r="AB35" s="4" t="n">
        <f aca="false">COUNTA(AC35:AG35)</f>
        <v>0</v>
      </c>
      <c r="AY35" s="1" t="n">
        <v>35</v>
      </c>
      <c r="BR35" s="1" t="n">
        <v>4</v>
      </c>
      <c r="BS35" s="1" t="s">
        <v>200</v>
      </c>
      <c r="BT35" s="1" t="n">
        <v>250</v>
      </c>
      <c r="BU35" s="1" t="n">
        <v>12</v>
      </c>
      <c r="BY35" s="1" t="n">
        <v>1008</v>
      </c>
      <c r="CE35" s="1" t="s">
        <v>200</v>
      </c>
      <c r="CF35" s="1" t="s">
        <v>200</v>
      </c>
      <c r="CI35" s="1" t="s">
        <v>200</v>
      </c>
    </row>
    <row r="36" customFormat="false" ht="15" hidden="false" customHeight="true" outlineLevel="0" collapsed="false">
      <c r="B36" s="1" t="n">
        <v>36</v>
      </c>
      <c r="L36" s="4" t="n">
        <f aca="true">YEAR(TODAY())-H36</f>
        <v>2026</v>
      </c>
      <c r="N36" s="4" t="n">
        <f aca="true">O36+IF(AT36=1,480,0)+AA36+IF(K36="M",IF(AH36&gt;0,IF((TODAY()-AH36)/30.44&lt;6,2400,IF((TODAY()-AH36)/30.44&lt;12,1200,0)),0),0)+IF(AP36&gt;0,AP36,0)-R36-T36-S36-U36</f>
        <v>450</v>
      </c>
      <c r="O36" s="4" t="n">
        <f aca="true">IF(X36=1,1200,IF(YEAR(TODAY())-H36&lt;18,0,IF(YEAR(TODAY())-H36&lt;65,300,450)))</f>
        <v>450</v>
      </c>
      <c r="R36" s="4" t="n">
        <f aca="false">IF(MIN(AM36+IF(ISNUMBER(AN36),AN36,0),16000)&gt;=600,(MIN(AM36+IF(ISNUMBER(AN36),AN36,0),16000)-600)^0.8/10000*MIN(AM36+IF(ISNUMBER(AN36),AN36,0),16000),0)</f>
        <v>0</v>
      </c>
      <c r="S36" s="4" t="n">
        <f aca="false">IF(AB36=0,0,IF(AB36=1,30,IF(AB36=2,60,IF(AB36=3,120,IF(AB36=4,180,240)))))</f>
        <v>0</v>
      </c>
      <c r="T36" s="4" t="n">
        <f aca="false">IF(Y36&gt;0,Y36*600/MAX(1,Z36),0)</f>
        <v>0</v>
      </c>
      <c r="U36" s="4" t="n">
        <f aca="false">IF(AW36&gt;0,AW36*1000000*MAX(0,MIN(22,1+LOG10(AW36)))/100/12,0)</f>
        <v>0</v>
      </c>
      <c r="Z36" s="1" t="n">
        <v>1</v>
      </c>
      <c r="AA36" s="4" t="n">
        <f aca="true">IF(K36="W",IFERROR(IF(AND(AC36&gt;0,(TODAY()-AC36)&lt;36*365.25/12),2400/((TODAY()-AC36)/30.44/6+1),0),0)+IFERROR(IF(AND(AD36&gt;0,(TODAY()-AD36)&lt;36*365.25/12),2400/((TODAY()-AD36)/30.44/6+1),0),0)+IFERROR(IF(AND(AE36&gt;0,(TODAY()-AE36)&lt;36*365.25/12),2400/((TODAY()-AE36)/30.44/6+1),0),0)+IFERROR(IF(AND(AF36&gt;0,(TODAY()-AF36)&lt;36*365.25/12),2400/((TODAY()-AF36)/30.44/6+1),0),0)+IFERROR(IF(AND(AG36&gt;0,(TODAY()-AG36)&lt;36*365.25/12),2400/((TODAY()-AG36)/30.44/6+1),0),0),0)</f>
        <v>0</v>
      </c>
      <c r="AB36" s="4" t="n">
        <f aca="false">COUNTA(AC36:AG36)</f>
        <v>0</v>
      </c>
      <c r="AY36" s="1" t="n">
        <v>36</v>
      </c>
      <c r="BR36" s="1" t="n">
        <v>5</v>
      </c>
      <c r="BS36" s="1" t="s">
        <v>201</v>
      </c>
      <c r="BT36" s="1" t="n">
        <v>300</v>
      </c>
      <c r="BU36" s="1" t="n">
        <v>8</v>
      </c>
      <c r="BY36" s="1" t="n">
        <v>1512</v>
      </c>
      <c r="CE36" s="1" t="s">
        <v>201</v>
      </c>
      <c r="CF36" s="1" t="s">
        <v>201</v>
      </c>
      <c r="CI36" s="1" t="s">
        <v>201</v>
      </c>
    </row>
    <row r="37" customFormat="false" ht="15" hidden="false" customHeight="true" outlineLevel="0" collapsed="false">
      <c r="B37" s="1" t="n">
        <v>37</v>
      </c>
      <c r="L37" s="4" t="n">
        <f aca="true">YEAR(TODAY())-H37</f>
        <v>2026</v>
      </c>
      <c r="N37" s="4" t="n">
        <f aca="true">O37+IF(AT37=1,480,0)+AA37+IF(K37="M",IF(AH37&gt;0,IF((TODAY()-AH37)/30.44&lt;6,2400,IF((TODAY()-AH37)/30.44&lt;12,1200,0)),0),0)+IF(AP37&gt;0,AP37,0)-R37-T37-S37-U37</f>
        <v>450</v>
      </c>
      <c r="O37" s="4" t="n">
        <f aca="true">IF(X37=1,1200,IF(YEAR(TODAY())-H37&lt;18,0,IF(YEAR(TODAY())-H37&lt;65,300,450)))</f>
        <v>450</v>
      </c>
      <c r="R37" s="4" t="n">
        <f aca="false">IF(MIN(AM37+IF(ISNUMBER(AN37),AN37,0),16000)&gt;=600,(MIN(AM37+IF(ISNUMBER(AN37),AN37,0),16000)-600)^0.8/10000*MIN(AM37+IF(ISNUMBER(AN37),AN37,0),16000),0)</f>
        <v>0</v>
      </c>
      <c r="S37" s="4" t="n">
        <f aca="false">IF(AB37=0,0,IF(AB37=1,30,IF(AB37=2,60,IF(AB37=3,120,IF(AB37=4,180,240)))))</f>
        <v>0</v>
      </c>
      <c r="T37" s="4" t="n">
        <f aca="false">IF(Y37&gt;0,Y37*600/MAX(1,Z37),0)</f>
        <v>0</v>
      </c>
      <c r="U37" s="4" t="n">
        <f aca="false">IF(AW37&gt;0,AW37*1000000*MAX(0,MIN(22,1+LOG10(AW37)))/100/12,0)</f>
        <v>0</v>
      </c>
      <c r="Z37" s="1" t="n">
        <v>1</v>
      </c>
      <c r="AA37" s="4" t="n">
        <f aca="true">IF(K37="W",IFERROR(IF(AND(AC37&gt;0,(TODAY()-AC37)&lt;36*365.25/12),2400/((TODAY()-AC37)/30.44/6+1),0),0)+IFERROR(IF(AND(AD37&gt;0,(TODAY()-AD37)&lt;36*365.25/12),2400/((TODAY()-AD37)/30.44/6+1),0),0)+IFERROR(IF(AND(AE37&gt;0,(TODAY()-AE37)&lt;36*365.25/12),2400/((TODAY()-AE37)/30.44/6+1),0),0)+IFERROR(IF(AND(AF37&gt;0,(TODAY()-AF37)&lt;36*365.25/12),2400/((TODAY()-AF37)/30.44/6+1),0),0)+IFERROR(IF(AND(AG37&gt;0,(TODAY()-AG37)&lt;36*365.25/12),2400/((TODAY()-AG37)/30.44/6+1),0),0),0)</f>
        <v>0</v>
      </c>
      <c r="AB37" s="4" t="n">
        <f aca="false">COUNTA(AC37:AG37)</f>
        <v>0</v>
      </c>
      <c r="AY37" s="1" t="n">
        <v>37</v>
      </c>
      <c r="BN37" s="1" t="s">
        <v>202</v>
      </c>
      <c r="BR37" s="1" t="n">
        <v>6</v>
      </c>
      <c r="BS37" s="1" t="s">
        <v>203</v>
      </c>
      <c r="BT37" s="1" t="n">
        <v>400</v>
      </c>
      <c r="BU37" s="1" t="n">
        <v>12</v>
      </c>
      <c r="BY37" s="1" t="n">
        <v>764</v>
      </c>
      <c r="CE37" s="1" t="s">
        <v>203</v>
      </c>
      <c r="CF37" s="1" t="s">
        <v>203</v>
      </c>
      <c r="CI37" s="1" t="s">
        <v>203</v>
      </c>
    </row>
    <row r="38" customFormat="false" ht="15" hidden="false" customHeight="true" outlineLevel="0" collapsed="false">
      <c r="B38" s="1" t="n">
        <v>38</v>
      </c>
      <c r="L38" s="4" t="n">
        <f aca="true">YEAR(TODAY())-H38</f>
        <v>2026</v>
      </c>
      <c r="N38" s="4" t="n">
        <f aca="true">O38+IF(AT38=1,480,0)+AA38+IF(K38="M",IF(AH38&gt;0,IF((TODAY()-AH38)/30.44&lt;6,2400,IF((TODAY()-AH38)/30.44&lt;12,1200,0)),0),0)+IF(AP38&gt;0,AP38,0)-R38-T38-S38-U38</f>
        <v>450</v>
      </c>
      <c r="O38" s="4" t="n">
        <f aca="true">IF(X38=1,1200,IF(YEAR(TODAY())-H38&lt;18,0,IF(YEAR(TODAY())-H38&lt;65,300,450)))</f>
        <v>450</v>
      </c>
      <c r="R38" s="4" t="n">
        <f aca="false">IF(MIN(AM38+IF(ISNUMBER(AN38),AN38,0),16000)&gt;=600,(MIN(AM38+IF(ISNUMBER(AN38),AN38,0),16000)-600)^0.8/10000*MIN(AM38+IF(ISNUMBER(AN38),AN38,0),16000),0)</f>
        <v>0</v>
      </c>
      <c r="S38" s="4" t="n">
        <f aca="false">IF(AB38=0,0,IF(AB38=1,30,IF(AB38=2,60,IF(AB38=3,120,IF(AB38=4,180,240)))))</f>
        <v>0</v>
      </c>
      <c r="T38" s="4" t="n">
        <f aca="false">IF(Y38&gt;0,Y38*600/MAX(1,Z38),0)</f>
        <v>0</v>
      </c>
      <c r="U38" s="4" t="n">
        <f aca="false">IF(AW38&gt;0,AW38*1000000*MAX(0,MIN(22,1+LOG10(AW38)))/100/12,0)</f>
        <v>0</v>
      </c>
      <c r="Z38" s="1" t="n">
        <v>1</v>
      </c>
      <c r="AA38" s="4" t="n">
        <f aca="true">IF(K38="W",IFERROR(IF(AND(AC38&gt;0,(TODAY()-AC38)&lt;36*365.25/12),2400/((TODAY()-AC38)/30.44/6+1),0),0)+IFERROR(IF(AND(AD38&gt;0,(TODAY()-AD38)&lt;36*365.25/12),2400/((TODAY()-AD38)/30.44/6+1),0),0)+IFERROR(IF(AND(AE38&gt;0,(TODAY()-AE38)&lt;36*365.25/12),2400/((TODAY()-AE38)/30.44/6+1),0),0)+IFERROR(IF(AND(AF38&gt;0,(TODAY()-AF38)&lt;36*365.25/12),2400/((TODAY()-AF38)/30.44/6+1),0),0)+IFERROR(IF(AND(AG38&gt;0,(TODAY()-AG38)&lt;36*365.25/12),2400/((TODAY()-AG38)/30.44/6+1),0),0),0)</f>
        <v>0</v>
      </c>
      <c r="AB38" s="4" t="n">
        <f aca="false">COUNTA(AC38:AG38)</f>
        <v>0</v>
      </c>
      <c r="AY38" s="1" t="n">
        <v>38</v>
      </c>
      <c r="BN38" s="1" t="n">
        <v>100000</v>
      </c>
      <c r="BR38" s="1" t="n">
        <v>7</v>
      </c>
      <c r="BS38" s="1" t="s">
        <v>204</v>
      </c>
      <c r="BT38" s="1" t="n">
        <v>450</v>
      </c>
      <c r="BU38" s="1" t="n">
        <v>6</v>
      </c>
      <c r="BY38" s="1" t="n">
        <v>1650</v>
      </c>
      <c r="CE38" s="1" t="s">
        <v>204</v>
      </c>
      <c r="CF38" s="1" t="s">
        <v>204</v>
      </c>
      <c r="CI38" s="1" t="s">
        <v>204</v>
      </c>
    </row>
    <row r="39" customFormat="false" ht="15" hidden="false" customHeight="true" outlineLevel="0" collapsed="false">
      <c r="B39" s="1" t="n">
        <v>39</v>
      </c>
      <c r="L39" s="4" t="n">
        <f aca="true">YEAR(TODAY())-H39</f>
        <v>2026</v>
      </c>
      <c r="N39" s="4" t="n">
        <f aca="true">O39+IF(AT39=1,480,0)+AA39+IF(K39="M",IF(AH39&gt;0,IF((TODAY()-AH39)/30.44&lt;6,2400,IF((TODAY()-AH39)/30.44&lt;12,1200,0)),0),0)+IF(AP39&gt;0,AP39,0)-R39-T39-S39-U39</f>
        <v>450</v>
      </c>
      <c r="O39" s="4" t="n">
        <f aca="true">IF(X39=1,1200,IF(YEAR(TODAY())-H39&lt;18,0,IF(YEAR(TODAY())-H39&lt;65,300,450)))</f>
        <v>450</v>
      </c>
      <c r="R39" s="4" t="n">
        <f aca="false">IF(MIN(AM39+IF(ISNUMBER(AN39),AN39,0),16000)&gt;=600,(MIN(AM39+IF(ISNUMBER(AN39),AN39,0),16000)-600)^0.8/10000*MIN(AM39+IF(ISNUMBER(AN39),AN39,0),16000),0)</f>
        <v>0</v>
      </c>
      <c r="S39" s="4" t="n">
        <f aca="false">IF(AB39=0,0,IF(AB39=1,30,IF(AB39=2,60,IF(AB39=3,120,IF(AB39=4,180,240)))))</f>
        <v>0</v>
      </c>
      <c r="T39" s="4" t="n">
        <f aca="false">IF(Y39&gt;0,Y39*600/MAX(1,Z39),0)</f>
        <v>0</v>
      </c>
      <c r="U39" s="4" t="n">
        <f aca="false">IF(AW39&gt;0,AW39*1000000*MAX(0,MIN(22,1+LOG10(AW39)))/100/12,0)</f>
        <v>0</v>
      </c>
      <c r="Z39" s="1" t="n">
        <v>1</v>
      </c>
      <c r="AA39" s="4" t="n">
        <f aca="true">IF(K39="W",IFERROR(IF(AND(AC39&gt;0,(TODAY()-AC39)&lt;36*365.25/12),2400/((TODAY()-AC39)/30.44/6+1),0),0)+IFERROR(IF(AND(AD39&gt;0,(TODAY()-AD39)&lt;36*365.25/12),2400/((TODAY()-AD39)/30.44/6+1),0),0)+IFERROR(IF(AND(AE39&gt;0,(TODAY()-AE39)&lt;36*365.25/12),2400/((TODAY()-AE39)/30.44/6+1),0),0)+IFERROR(IF(AND(AF39&gt;0,(TODAY()-AF39)&lt;36*365.25/12),2400/((TODAY()-AF39)/30.44/6+1),0),0)+IFERROR(IF(AND(AG39&gt;0,(TODAY()-AG39)&lt;36*365.25/12),2400/((TODAY()-AG39)/30.44/6+1),0),0),0)</f>
        <v>0</v>
      </c>
      <c r="AB39" s="4" t="n">
        <f aca="false">COUNTA(AC39:AG39)</f>
        <v>0</v>
      </c>
      <c r="AY39" s="1" t="n">
        <v>39</v>
      </c>
      <c r="BN39" s="1" t="s">
        <v>205</v>
      </c>
      <c r="BR39" s="1" t="n">
        <v>8</v>
      </c>
      <c r="BS39" s="1" t="s">
        <v>206</v>
      </c>
      <c r="BT39" s="1" t="n">
        <v>600</v>
      </c>
      <c r="BU39" s="1" t="n">
        <v>4</v>
      </c>
      <c r="BY39" s="1" t="n">
        <v>3803</v>
      </c>
      <c r="CE39" s="1" t="s">
        <v>206</v>
      </c>
      <c r="CF39" s="1" t="s">
        <v>206</v>
      </c>
      <c r="CI39" s="1" t="s">
        <v>206</v>
      </c>
    </row>
    <row r="40" customFormat="false" ht="15" hidden="false" customHeight="true" outlineLevel="0" collapsed="false">
      <c r="B40" s="1" t="n">
        <v>40</v>
      </c>
      <c r="L40" s="4" t="n">
        <f aca="true">YEAR(TODAY())-H40</f>
        <v>2026</v>
      </c>
      <c r="N40" s="4" t="n">
        <f aca="true">O40+IF(AT40=1,480,0)+AA40+IF(K40="M",IF(AH40&gt;0,IF((TODAY()-AH40)/30.44&lt;6,2400,IF((TODAY()-AH40)/30.44&lt;12,1200,0)),0),0)+IF(AP40&gt;0,AP40,0)-R40-T40-S40-U40</f>
        <v>450</v>
      </c>
      <c r="O40" s="4" t="n">
        <f aca="true">IF(X40=1,1200,IF(YEAR(TODAY())-H40&lt;18,0,IF(YEAR(TODAY())-H40&lt;65,300,450)))</f>
        <v>450</v>
      </c>
      <c r="R40" s="4" t="n">
        <f aca="false">IF(MIN(AM40+IF(ISNUMBER(AN40),AN40,0),16000)&gt;=600,(MIN(AM40+IF(ISNUMBER(AN40),AN40,0),16000)-600)^0.8/10000*MIN(AM40+IF(ISNUMBER(AN40),AN40,0),16000),0)</f>
        <v>0</v>
      </c>
      <c r="S40" s="4" t="n">
        <f aca="false">IF(AB40=0,0,IF(AB40=1,30,IF(AB40=2,60,IF(AB40=3,120,IF(AB40=4,180,240)))))</f>
        <v>0</v>
      </c>
      <c r="T40" s="4" t="n">
        <f aca="false">IF(Y40&gt;0,Y40*600/MAX(1,Z40),0)</f>
        <v>0</v>
      </c>
      <c r="U40" s="4" t="n">
        <f aca="false">IF(AW40&gt;0,AW40*1000000*MAX(0,MIN(22,1+LOG10(AW40)))/100/12,0)</f>
        <v>0</v>
      </c>
      <c r="Z40" s="1" t="n">
        <v>1</v>
      </c>
      <c r="AA40" s="4" t="n">
        <f aca="true">IF(K40="W",IFERROR(IF(AND(AC40&gt;0,(TODAY()-AC40)&lt;36*365.25/12),2400/((TODAY()-AC40)/30.44/6+1),0),0)+IFERROR(IF(AND(AD40&gt;0,(TODAY()-AD40)&lt;36*365.25/12),2400/((TODAY()-AD40)/30.44/6+1),0),0)+IFERROR(IF(AND(AE40&gt;0,(TODAY()-AE40)&lt;36*365.25/12),2400/((TODAY()-AE40)/30.44/6+1),0),0)+IFERROR(IF(AND(AF40&gt;0,(TODAY()-AF40)&lt;36*365.25/12),2400/((TODAY()-AF40)/30.44/6+1),0),0)+IFERROR(IF(AND(AG40&gt;0,(TODAY()-AG40)&lt;36*365.25/12),2400/((TODAY()-AG40)/30.44/6+1),0),0),0)</f>
        <v>0</v>
      </c>
      <c r="AB40" s="4" t="n">
        <f aca="false">COUNTA(AC40:AG40)</f>
        <v>0</v>
      </c>
      <c r="AY40" s="1" t="n">
        <v>40</v>
      </c>
      <c r="BR40" s="1" t="n">
        <v>9</v>
      </c>
      <c r="BS40" s="1" t="s">
        <v>207</v>
      </c>
      <c r="BT40" s="1" t="n">
        <v>650</v>
      </c>
      <c r="BU40" s="1" t="n">
        <v>4</v>
      </c>
      <c r="BY40" s="1" t="n">
        <v>4635</v>
      </c>
      <c r="CE40" s="1" t="s">
        <v>207</v>
      </c>
      <c r="CF40" s="1" t="s">
        <v>207</v>
      </c>
      <c r="CI40" s="1" t="s">
        <v>207</v>
      </c>
    </row>
    <row r="41" customFormat="false" ht="15" hidden="false" customHeight="true" outlineLevel="0" collapsed="false">
      <c r="B41" s="1" t="n">
        <v>41</v>
      </c>
      <c r="L41" s="4" t="n">
        <f aca="true">YEAR(TODAY())-H41</f>
        <v>2026</v>
      </c>
      <c r="N41" s="4" t="n">
        <f aca="true">O41+IF(AT41=1,480,0)+AA41+IF(K41="M",IF(AH41&gt;0,IF((TODAY()-AH41)/30.44&lt;6,2400,IF((TODAY()-AH41)/30.44&lt;12,1200,0)),0),0)+IF(AP41&gt;0,AP41,0)-R41-T41-S41-U41</f>
        <v>450</v>
      </c>
      <c r="O41" s="4" t="n">
        <f aca="true">IF(X41=1,1200,IF(YEAR(TODAY())-H41&lt;18,0,IF(YEAR(TODAY())-H41&lt;65,300,450)))</f>
        <v>450</v>
      </c>
      <c r="R41" s="4" t="n">
        <f aca="false">IF(MIN(AM41+IF(ISNUMBER(AN41),AN41,0),16000)&gt;=600,(MIN(AM41+IF(ISNUMBER(AN41),AN41,0),16000)-600)^0.8/10000*MIN(AM41+IF(ISNUMBER(AN41),AN41,0),16000),0)</f>
        <v>0</v>
      </c>
      <c r="S41" s="4" t="n">
        <f aca="false">IF(AB41=0,0,IF(AB41=1,30,IF(AB41=2,60,IF(AB41=3,120,IF(AB41=4,180,240)))))</f>
        <v>0</v>
      </c>
      <c r="T41" s="4" t="n">
        <f aca="false">IF(Y41&gt;0,Y41*600/MAX(1,Z41),0)</f>
        <v>0</v>
      </c>
      <c r="U41" s="4" t="n">
        <f aca="false">IF(AW41&gt;0,AW41*1000000*MAX(0,MIN(22,1+LOG10(AW41)))/100/12,0)</f>
        <v>0</v>
      </c>
      <c r="Z41" s="1" t="n">
        <v>1</v>
      </c>
      <c r="AA41" s="4" t="n">
        <f aca="true">IF(K41="W",IFERROR(IF(AND(AC41&gt;0,(TODAY()-AC41)&lt;36*365.25/12),2400/((TODAY()-AC41)/30.44/6+1),0),0)+IFERROR(IF(AND(AD41&gt;0,(TODAY()-AD41)&lt;36*365.25/12),2400/((TODAY()-AD41)/30.44/6+1),0),0)+IFERROR(IF(AND(AE41&gt;0,(TODAY()-AE41)&lt;36*365.25/12),2400/((TODAY()-AE41)/30.44/6+1),0),0)+IFERROR(IF(AND(AF41&gt;0,(TODAY()-AF41)&lt;36*365.25/12),2400/((TODAY()-AF41)/30.44/6+1),0),0)+IFERROR(IF(AND(AG41&gt;0,(TODAY()-AG41)&lt;36*365.25/12),2400/((TODAY()-AG41)/30.44/6+1),0),0),0)</f>
        <v>0</v>
      </c>
      <c r="AB41" s="4" t="n">
        <f aca="false">COUNTA(AC41:AG41)</f>
        <v>0</v>
      </c>
      <c r="AY41" s="1" t="n">
        <v>41</v>
      </c>
      <c r="BR41" s="1" t="n">
        <v>10</v>
      </c>
      <c r="BS41" s="1" t="s">
        <v>208</v>
      </c>
      <c r="BT41" s="1" t="n">
        <v>150</v>
      </c>
      <c r="BU41" s="1" t="n">
        <v>2</v>
      </c>
      <c r="BY41" s="1" t="n">
        <v>3650</v>
      </c>
      <c r="CE41" s="1" t="s">
        <v>208</v>
      </c>
      <c r="CF41" s="1" t="s">
        <v>208</v>
      </c>
      <c r="CI41" s="1" t="s">
        <v>208</v>
      </c>
    </row>
    <row r="42" customFormat="false" ht="15" hidden="false" customHeight="true" outlineLevel="0" collapsed="false">
      <c r="B42" s="1" t="n">
        <v>42</v>
      </c>
      <c r="L42" s="4" t="n">
        <f aca="true">YEAR(TODAY())-H42</f>
        <v>2026</v>
      </c>
      <c r="N42" s="4" t="n">
        <f aca="true">O42+IF(AT42=1,480,0)+AA42+IF(K42="M",IF(AH42&gt;0,IF((TODAY()-AH42)/30.44&lt;6,2400,IF((TODAY()-AH42)/30.44&lt;12,1200,0)),0),0)+IF(AP42&gt;0,AP42,0)-R42-T42-S42-U42</f>
        <v>450</v>
      </c>
      <c r="O42" s="4" t="n">
        <f aca="true">IF(X42=1,1200,IF(YEAR(TODAY())-H42&lt;18,0,IF(YEAR(TODAY())-H42&lt;65,300,450)))</f>
        <v>450</v>
      </c>
      <c r="R42" s="4" t="n">
        <f aca="false">IF(MIN(AM42+IF(ISNUMBER(AN42),AN42,0),16000)&gt;=600,(MIN(AM42+IF(ISNUMBER(AN42),AN42,0),16000)-600)^0.8/10000*MIN(AM42+IF(ISNUMBER(AN42),AN42,0),16000),0)</f>
        <v>0</v>
      </c>
      <c r="S42" s="4" t="n">
        <f aca="false">IF(AB42=0,0,IF(AB42=1,30,IF(AB42=2,60,IF(AB42=3,120,IF(AB42=4,180,240)))))</f>
        <v>0</v>
      </c>
      <c r="T42" s="4" t="n">
        <f aca="false">IF(Y42&gt;0,Y42*600/MAX(1,Z42),0)</f>
        <v>0</v>
      </c>
      <c r="U42" s="4" t="n">
        <f aca="false">IF(AW42&gt;0,AW42*1000000*MAX(0,MIN(22,1+LOG10(AW42)))/100/12,0)</f>
        <v>0</v>
      </c>
      <c r="Z42" s="1" t="n">
        <v>1</v>
      </c>
      <c r="AA42" s="4" t="n">
        <f aca="true">IF(K42="W",IFERROR(IF(AND(AC42&gt;0,(TODAY()-AC42)&lt;36*365.25/12),2400/((TODAY()-AC42)/30.44/6+1),0),0)+IFERROR(IF(AND(AD42&gt;0,(TODAY()-AD42)&lt;36*365.25/12),2400/((TODAY()-AD42)/30.44/6+1),0),0)+IFERROR(IF(AND(AE42&gt;0,(TODAY()-AE42)&lt;36*365.25/12),2400/((TODAY()-AE42)/30.44/6+1),0),0)+IFERROR(IF(AND(AF42&gt;0,(TODAY()-AF42)&lt;36*365.25/12),2400/((TODAY()-AF42)/30.44/6+1),0),0)+IFERROR(IF(AND(AG42&gt;0,(TODAY()-AG42)&lt;36*365.25/12),2400/((TODAY()-AG42)/30.44/6+1),0),0),0)</f>
        <v>0</v>
      </c>
      <c r="AB42" s="4" t="n">
        <f aca="false">COUNTA(AC42:AG42)</f>
        <v>0</v>
      </c>
      <c r="AY42" s="1" t="n">
        <v>42</v>
      </c>
      <c r="BR42" s="1" t="n">
        <v>11</v>
      </c>
      <c r="BS42" s="1" t="s">
        <v>209</v>
      </c>
      <c r="BT42" s="1" t="n">
        <v>500</v>
      </c>
      <c r="BU42" s="1" t="n">
        <v>6</v>
      </c>
      <c r="BY42" s="1" t="n">
        <v>1850</v>
      </c>
      <c r="CE42" s="1" t="s">
        <v>209</v>
      </c>
      <c r="CF42" s="1" t="s">
        <v>209</v>
      </c>
      <c r="CI42" s="1" t="s">
        <v>209</v>
      </c>
    </row>
    <row r="43" customFormat="false" ht="15" hidden="false" customHeight="true" outlineLevel="0" collapsed="false">
      <c r="B43" s="1" t="n">
        <v>43</v>
      </c>
      <c r="L43" s="4" t="n">
        <f aca="true">YEAR(TODAY())-H43</f>
        <v>2026</v>
      </c>
      <c r="N43" s="4" t="n">
        <f aca="true">O43+IF(AT43=1,480,0)+AA43+IF(K43="M",IF(AH43&gt;0,IF((TODAY()-AH43)/30.44&lt;6,2400,IF((TODAY()-AH43)/30.44&lt;12,1200,0)),0),0)+IF(AP43&gt;0,AP43,0)-R43-T43-S43-U43</f>
        <v>450</v>
      </c>
      <c r="O43" s="4" t="n">
        <f aca="true">IF(X43=1,1200,IF(YEAR(TODAY())-H43&lt;18,0,IF(YEAR(TODAY())-H43&lt;65,300,450)))</f>
        <v>450</v>
      </c>
      <c r="R43" s="4" t="n">
        <f aca="false">IF(MIN(AM43+IF(ISNUMBER(AN43),AN43,0),16000)&gt;=600,(MIN(AM43+IF(ISNUMBER(AN43),AN43,0),16000)-600)^0.8/10000*MIN(AM43+IF(ISNUMBER(AN43),AN43,0),16000),0)</f>
        <v>0</v>
      </c>
      <c r="S43" s="4" t="n">
        <f aca="false">IF(AB43=0,0,IF(AB43=1,30,IF(AB43=2,60,IF(AB43=3,120,IF(AB43=4,180,240)))))</f>
        <v>0</v>
      </c>
      <c r="T43" s="4" t="n">
        <f aca="false">IF(Y43&gt;0,Y43*600/MAX(1,Z43),0)</f>
        <v>0</v>
      </c>
      <c r="U43" s="4" t="n">
        <f aca="false">IF(AW43&gt;0,AW43*1000000*MAX(0,MIN(22,1+LOG10(AW43)))/100/12,0)</f>
        <v>0</v>
      </c>
      <c r="Z43" s="1" t="n">
        <v>1</v>
      </c>
      <c r="AA43" s="4" t="n">
        <f aca="true">IF(K43="W",IFERROR(IF(AND(AC43&gt;0,(TODAY()-AC43)&lt;36*365.25/12),2400/((TODAY()-AC43)/30.44/6+1),0),0)+IFERROR(IF(AND(AD43&gt;0,(TODAY()-AD43)&lt;36*365.25/12),2400/((TODAY()-AD43)/30.44/6+1),0),0)+IFERROR(IF(AND(AE43&gt;0,(TODAY()-AE43)&lt;36*365.25/12),2400/((TODAY()-AE43)/30.44/6+1),0),0)+IFERROR(IF(AND(AF43&gt;0,(TODAY()-AF43)&lt;36*365.25/12),2400/((TODAY()-AF43)/30.44/6+1),0),0)+IFERROR(IF(AND(AG43&gt;0,(TODAY()-AG43)&lt;36*365.25/12),2400/((TODAY()-AG43)/30.44/6+1),0),0),0)</f>
        <v>0</v>
      </c>
      <c r="AB43" s="4" t="n">
        <f aca="false">COUNTA(AC43:AG43)</f>
        <v>0</v>
      </c>
      <c r="AY43" s="1" t="n">
        <v>43</v>
      </c>
      <c r="BJ43" s="1" t="s">
        <v>210</v>
      </c>
      <c r="BR43" s="1" t="n">
        <v>12</v>
      </c>
      <c r="BS43" s="1" t="s">
        <v>211</v>
      </c>
      <c r="BT43" s="1" t="n">
        <v>550</v>
      </c>
      <c r="BU43" s="1" t="n">
        <v>6</v>
      </c>
      <c r="BY43" s="1" t="n">
        <v>1850</v>
      </c>
      <c r="CE43" s="1" t="s">
        <v>211</v>
      </c>
      <c r="CF43" s="1" t="s">
        <v>211</v>
      </c>
      <c r="CI43" s="1" t="s">
        <v>211</v>
      </c>
    </row>
    <row r="44" customFormat="false" ht="15" hidden="false" customHeight="true" outlineLevel="0" collapsed="false">
      <c r="B44" s="1" t="n">
        <v>44</v>
      </c>
      <c r="L44" s="4" t="n">
        <f aca="true">YEAR(TODAY())-H44</f>
        <v>2026</v>
      </c>
      <c r="N44" s="4" t="n">
        <f aca="true">O44+IF(AT44=1,480,0)+AA44+IF(K44="M",IF(AH44&gt;0,IF((TODAY()-AH44)/30.44&lt;6,2400,IF((TODAY()-AH44)/30.44&lt;12,1200,0)),0),0)+IF(AP44&gt;0,AP44,0)-R44-T44-S44-U44</f>
        <v>450</v>
      </c>
      <c r="O44" s="4" t="n">
        <f aca="true">IF(X44=1,1200,IF(YEAR(TODAY())-H44&lt;18,0,IF(YEAR(TODAY())-H44&lt;65,300,450)))</f>
        <v>450</v>
      </c>
      <c r="R44" s="4" t="n">
        <f aca="false">IF(MIN(AM44+IF(ISNUMBER(AN44),AN44,0),16000)&gt;=600,(MIN(AM44+IF(ISNUMBER(AN44),AN44,0),16000)-600)^0.8/10000*MIN(AM44+IF(ISNUMBER(AN44),AN44,0),16000),0)</f>
        <v>0</v>
      </c>
      <c r="S44" s="4" t="n">
        <f aca="false">IF(AB44=0,0,IF(AB44=1,30,IF(AB44=2,60,IF(AB44=3,120,IF(AB44=4,180,240)))))</f>
        <v>0</v>
      </c>
      <c r="T44" s="4" t="n">
        <f aca="false">IF(Y44&gt;0,Y44*600/MAX(1,Z44),0)</f>
        <v>0</v>
      </c>
      <c r="U44" s="4" t="n">
        <f aca="false">IF(AW44&gt;0,AW44*1000000*MAX(0,MIN(22,1+LOG10(AW44)))/100/12,0)</f>
        <v>0</v>
      </c>
      <c r="Z44" s="1" t="n">
        <v>1</v>
      </c>
      <c r="AA44" s="4" t="n">
        <f aca="true">IF(K44="W",IFERROR(IF(AND(AC44&gt;0,(TODAY()-AC44)&lt;36*365.25/12),2400/((TODAY()-AC44)/30.44/6+1),0),0)+IFERROR(IF(AND(AD44&gt;0,(TODAY()-AD44)&lt;36*365.25/12),2400/((TODAY()-AD44)/30.44/6+1),0),0)+IFERROR(IF(AND(AE44&gt;0,(TODAY()-AE44)&lt;36*365.25/12),2400/((TODAY()-AE44)/30.44/6+1),0),0)+IFERROR(IF(AND(AF44&gt;0,(TODAY()-AF44)&lt;36*365.25/12),2400/((TODAY()-AF44)/30.44/6+1),0),0)+IFERROR(IF(AND(AG44&gt;0,(TODAY()-AG44)&lt;36*365.25/12),2400/((TODAY()-AG44)/30.44/6+1),0),0),0)</f>
        <v>0</v>
      </c>
      <c r="AB44" s="4" t="n">
        <f aca="false">COUNTA(AC44:AG44)</f>
        <v>0</v>
      </c>
      <c r="AY44" s="1" t="n">
        <v>44</v>
      </c>
      <c r="BR44" s="1" t="n">
        <v>13</v>
      </c>
      <c r="BS44" s="1" t="s">
        <v>212</v>
      </c>
      <c r="BT44" s="1" t="n">
        <v>350</v>
      </c>
      <c r="BU44" s="1" t="n">
        <v>60</v>
      </c>
      <c r="BY44" s="1" t="n">
        <v>176</v>
      </c>
      <c r="CE44" s="1" t="s">
        <v>212</v>
      </c>
      <c r="CF44" s="1" t="s">
        <v>212</v>
      </c>
      <c r="CI44" s="1" t="s">
        <v>212</v>
      </c>
    </row>
    <row r="45" customFormat="false" ht="15" hidden="false" customHeight="true" outlineLevel="0" collapsed="false">
      <c r="B45" s="1" t="n">
        <v>45</v>
      </c>
      <c r="L45" s="4" t="n">
        <f aca="true">YEAR(TODAY())-H45</f>
        <v>2026</v>
      </c>
      <c r="N45" s="4" t="n">
        <f aca="true">O45+IF(AT45=1,480,0)+AA45+IF(K45="M",IF(AH45&gt;0,IF((TODAY()-AH45)/30.44&lt;6,2400,IF((TODAY()-AH45)/30.44&lt;12,1200,0)),0),0)+IF(AP45&gt;0,AP45,0)-R45-T45-S45-U45</f>
        <v>450</v>
      </c>
      <c r="O45" s="4" t="n">
        <f aca="true">IF(X45=1,1200,IF(YEAR(TODAY())-H45&lt;18,0,IF(YEAR(TODAY())-H45&lt;65,300,450)))</f>
        <v>450</v>
      </c>
      <c r="R45" s="4" t="n">
        <f aca="false">IF(MIN(AM45+IF(ISNUMBER(AN45),AN45,0),16000)&gt;=600,(MIN(AM45+IF(ISNUMBER(AN45),AN45,0),16000)-600)^0.8/10000*MIN(AM45+IF(ISNUMBER(AN45),AN45,0),16000),0)</f>
        <v>0</v>
      </c>
      <c r="S45" s="4" t="n">
        <f aca="false">IF(AB45=0,0,IF(AB45=1,30,IF(AB45=2,60,IF(AB45=3,120,IF(AB45=4,180,240)))))</f>
        <v>0</v>
      </c>
      <c r="T45" s="4" t="n">
        <f aca="false">IF(Y45&gt;0,Y45*600/MAX(1,Z45),0)</f>
        <v>0</v>
      </c>
      <c r="U45" s="4" t="n">
        <f aca="false">IF(AW45&gt;0,AW45*1000000*MAX(0,MIN(22,1+LOG10(AW45)))/100/12,0)</f>
        <v>0</v>
      </c>
      <c r="Z45" s="1" t="n">
        <v>1</v>
      </c>
      <c r="AA45" s="4" t="n">
        <f aca="true">IF(K45="W",IFERROR(IF(AND(AC45&gt;0,(TODAY()-AC45)&lt;36*365.25/12),2400/((TODAY()-AC45)/30.44/6+1),0),0)+IFERROR(IF(AND(AD45&gt;0,(TODAY()-AD45)&lt;36*365.25/12),2400/((TODAY()-AD45)/30.44/6+1),0),0)+IFERROR(IF(AND(AE45&gt;0,(TODAY()-AE45)&lt;36*365.25/12),2400/((TODAY()-AE45)/30.44/6+1),0),0)+IFERROR(IF(AND(AF45&gt;0,(TODAY()-AF45)&lt;36*365.25/12),2400/((TODAY()-AF45)/30.44/6+1),0),0)+IFERROR(IF(AND(AG45&gt;0,(TODAY()-AG45)&lt;36*365.25/12),2400/((TODAY()-AG45)/30.44/6+1),0),0),0)</f>
        <v>0</v>
      </c>
      <c r="AB45" s="4" t="n">
        <f aca="false">COUNTA(AC45:AG45)</f>
        <v>0</v>
      </c>
      <c r="AY45" s="1" t="n">
        <v>45</v>
      </c>
      <c r="BR45" s="1" t="n">
        <v>14</v>
      </c>
      <c r="BS45" s="1" t="s">
        <v>213</v>
      </c>
      <c r="BT45" s="1" t="n">
        <v>400</v>
      </c>
      <c r="BU45" s="1" t="n">
        <v>24</v>
      </c>
      <c r="BY45" s="1" t="n">
        <v>176</v>
      </c>
      <c r="CE45" s="1" t="s">
        <v>213</v>
      </c>
      <c r="CF45" s="1" t="s">
        <v>213</v>
      </c>
      <c r="CI45" s="1" t="s">
        <v>213</v>
      </c>
    </row>
    <row r="46" customFormat="false" ht="15" hidden="false" customHeight="true" outlineLevel="0" collapsed="false">
      <c r="B46" s="1" t="n">
        <v>46</v>
      </c>
      <c r="L46" s="4" t="n">
        <f aca="true">YEAR(TODAY())-H46</f>
        <v>2026</v>
      </c>
      <c r="N46" s="4" t="n">
        <f aca="true">O46+IF(AT46=1,480,0)+AA46+IF(K46="M",IF(AH46&gt;0,IF((TODAY()-AH46)/30.44&lt;6,2400,IF((TODAY()-AH46)/30.44&lt;12,1200,0)),0),0)+IF(AP46&gt;0,AP46,0)-R46-T46-S46-U46</f>
        <v>450</v>
      </c>
      <c r="O46" s="4" t="n">
        <f aca="true">IF(X46=1,1200,IF(YEAR(TODAY())-H46&lt;18,0,IF(YEAR(TODAY())-H46&lt;65,300,450)))</f>
        <v>450</v>
      </c>
      <c r="R46" s="4" t="n">
        <f aca="false">IF(MIN(AM46+IF(ISNUMBER(AN46),AN46,0),16000)&gt;=600,(MIN(AM46+IF(ISNUMBER(AN46),AN46,0),16000)-600)^0.8/10000*MIN(AM46+IF(ISNUMBER(AN46),AN46,0),16000),0)</f>
        <v>0</v>
      </c>
      <c r="S46" s="4" t="n">
        <f aca="false">IF(AB46=0,0,IF(AB46=1,30,IF(AB46=2,60,IF(AB46=3,120,IF(AB46=4,180,240)))))</f>
        <v>0</v>
      </c>
      <c r="T46" s="4" t="n">
        <f aca="false">IF(Y46&gt;0,Y46*600/MAX(1,Z46),0)</f>
        <v>0</v>
      </c>
      <c r="U46" s="4" t="n">
        <f aca="false">IF(AW46&gt;0,AW46*1000000*MAX(0,MIN(22,1+LOG10(AW46)))/100/12,0)</f>
        <v>0</v>
      </c>
      <c r="Z46" s="1" t="n">
        <v>1</v>
      </c>
      <c r="AA46" s="4" t="n">
        <f aca="true">IF(K46="W",IFERROR(IF(AND(AC46&gt;0,(TODAY()-AC46)&lt;36*365.25/12),2400/((TODAY()-AC46)/30.44/6+1),0),0)+IFERROR(IF(AND(AD46&gt;0,(TODAY()-AD46)&lt;36*365.25/12),2400/((TODAY()-AD46)/30.44/6+1),0),0)+IFERROR(IF(AND(AE46&gt;0,(TODAY()-AE46)&lt;36*365.25/12),2400/((TODAY()-AE46)/30.44/6+1),0),0)+IFERROR(IF(AND(AF46&gt;0,(TODAY()-AF46)&lt;36*365.25/12),2400/((TODAY()-AF46)/30.44/6+1),0),0)+IFERROR(IF(AND(AG46&gt;0,(TODAY()-AG46)&lt;36*365.25/12),2400/((TODAY()-AG46)/30.44/6+1),0),0),0)</f>
        <v>0</v>
      </c>
      <c r="AB46" s="4" t="n">
        <f aca="false">COUNTA(AC46:AG46)</f>
        <v>0</v>
      </c>
      <c r="AY46" s="1" t="n">
        <v>46</v>
      </c>
      <c r="BJ46" s="1" t="s">
        <v>214</v>
      </c>
      <c r="BK46" s="1" t="s">
        <v>215</v>
      </c>
      <c r="BL46" s="1" t="s">
        <v>216</v>
      </c>
      <c r="BN46" s="1" t="s">
        <v>215</v>
      </c>
      <c r="BO46" s="1" t="s">
        <v>215</v>
      </c>
      <c r="BR46" s="1" t="n">
        <v>15</v>
      </c>
      <c r="BS46" s="1" t="s">
        <v>217</v>
      </c>
      <c r="BT46" s="1" t="n">
        <v>300</v>
      </c>
      <c r="BU46" s="1" t="n">
        <v>8</v>
      </c>
      <c r="BY46" s="1" t="n">
        <v>820</v>
      </c>
      <c r="CE46" s="1" t="s">
        <v>217</v>
      </c>
      <c r="CF46" s="1" t="s">
        <v>217</v>
      </c>
      <c r="CI46" s="1" t="s">
        <v>217</v>
      </c>
    </row>
    <row r="47" customFormat="false" ht="15" hidden="false" customHeight="true" outlineLevel="0" collapsed="false">
      <c r="B47" s="1" t="n">
        <v>47</v>
      </c>
      <c r="L47" s="4" t="n">
        <f aca="true">YEAR(TODAY())-H47</f>
        <v>2026</v>
      </c>
      <c r="N47" s="4" t="n">
        <f aca="true">O47+IF(AT47=1,480,0)+AA47+IF(K47="M",IF(AH47&gt;0,IF((TODAY()-AH47)/30.44&lt;6,2400,IF((TODAY()-AH47)/30.44&lt;12,1200,0)),0),0)+IF(AP47&gt;0,AP47,0)-R47-T47-S47-U47</f>
        <v>450</v>
      </c>
      <c r="O47" s="4" t="n">
        <f aca="true">IF(X47=1,1200,IF(YEAR(TODAY())-H47&lt;18,0,IF(YEAR(TODAY())-H47&lt;65,300,450)))</f>
        <v>450</v>
      </c>
      <c r="R47" s="4" t="n">
        <f aca="false">IF(MIN(AM47+IF(ISNUMBER(AN47),AN47,0),16000)&gt;=600,(MIN(AM47+IF(ISNUMBER(AN47),AN47,0),16000)-600)^0.8/10000*MIN(AM47+IF(ISNUMBER(AN47),AN47,0),16000),0)</f>
        <v>0</v>
      </c>
      <c r="S47" s="4" t="n">
        <f aca="false">IF(AB47=0,0,IF(AB47=1,30,IF(AB47=2,60,IF(AB47=3,120,IF(AB47=4,180,240)))))</f>
        <v>0</v>
      </c>
      <c r="T47" s="4" t="n">
        <f aca="false">IF(Y47&gt;0,Y47*600/MAX(1,Z47),0)</f>
        <v>0</v>
      </c>
      <c r="U47" s="4" t="n">
        <f aca="false">IF(AW47&gt;0,AW47*1000000*MAX(0,MIN(22,1+LOG10(AW47)))/100/12,0)</f>
        <v>0</v>
      </c>
      <c r="Z47" s="1" t="n">
        <v>1</v>
      </c>
      <c r="AA47" s="4" t="n">
        <f aca="true">IF(K47="W",IFERROR(IF(AND(AC47&gt;0,(TODAY()-AC47)&lt;36*365.25/12),2400/((TODAY()-AC47)/30.44/6+1),0),0)+IFERROR(IF(AND(AD47&gt;0,(TODAY()-AD47)&lt;36*365.25/12),2400/((TODAY()-AD47)/30.44/6+1),0),0)+IFERROR(IF(AND(AE47&gt;0,(TODAY()-AE47)&lt;36*365.25/12),2400/((TODAY()-AE47)/30.44/6+1),0),0)+IFERROR(IF(AND(AF47&gt;0,(TODAY()-AF47)&lt;36*365.25/12),2400/((TODAY()-AF47)/30.44/6+1),0),0)+IFERROR(IF(AND(AG47&gt;0,(TODAY()-AG47)&lt;36*365.25/12),2400/((TODAY()-AG47)/30.44/6+1),0),0),0)</f>
        <v>0</v>
      </c>
      <c r="AB47" s="4" t="n">
        <f aca="false">COUNTA(AC47:AG47)</f>
        <v>0</v>
      </c>
      <c r="AY47" s="1" t="n">
        <v>47</v>
      </c>
      <c r="BR47" s="1" t="n">
        <v>16</v>
      </c>
      <c r="BS47" s="1" t="s">
        <v>218</v>
      </c>
      <c r="BT47" s="1" t="n">
        <v>75</v>
      </c>
      <c r="BU47" s="1" t="n">
        <v>4</v>
      </c>
      <c r="BY47" s="1" t="n">
        <v>176</v>
      </c>
      <c r="CE47" s="1" t="s">
        <v>218</v>
      </c>
      <c r="CF47" s="1" t="s">
        <v>218</v>
      </c>
      <c r="CI47" s="1" t="s">
        <v>218</v>
      </c>
    </row>
    <row r="48" customFormat="false" ht="15" hidden="false" customHeight="true" outlineLevel="0" collapsed="false">
      <c r="B48" s="1" t="n">
        <v>48</v>
      </c>
      <c r="L48" s="4" t="n">
        <f aca="true">YEAR(TODAY())-H48</f>
        <v>2026</v>
      </c>
      <c r="N48" s="4" t="n">
        <f aca="true">O48+IF(AT48=1,480,0)+AA48+IF(K48="M",IF(AH48&gt;0,IF((TODAY()-AH48)/30.44&lt;6,2400,IF((TODAY()-AH48)/30.44&lt;12,1200,0)),0),0)+IF(AP48&gt;0,AP48,0)-R48-T48-S48-U48</f>
        <v>450</v>
      </c>
      <c r="O48" s="4" t="n">
        <f aca="true">IF(X48=1,1200,IF(YEAR(TODAY())-H48&lt;18,0,IF(YEAR(TODAY())-H48&lt;65,300,450)))</f>
        <v>450</v>
      </c>
      <c r="R48" s="4" t="n">
        <f aca="false">IF(MIN(AM48+IF(ISNUMBER(AN48),AN48,0),16000)&gt;=600,(MIN(AM48+IF(ISNUMBER(AN48),AN48,0),16000)-600)^0.8/10000*MIN(AM48+IF(ISNUMBER(AN48),AN48,0),16000),0)</f>
        <v>0</v>
      </c>
      <c r="S48" s="4" t="n">
        <f aca="false">IF(AB48=0,0,IF(AB48=1,30,IF(AB48=2,60,IF(AB48=3,120,IF(AB48=4,180,240)))))</f>
        <v>0</v>
      </c>
      <c r="T48" s="4" t="n">
        <f aca="false">IF(Y48&gt;0,Y48*600/MAX(1,Z48),0)</f>
        <v>0</v>
      </c>
      <c r="U48" s="4" t="n">
        <f aca="false">IF(AW48&gt;0,AW48*1000000*MAX(0,MIN(22,1+LOG10(AW48)))/100/12,0)</f>
        <v>0</v>
      </c>
      <c r="Z48" s="1" t="n">
        <v>1</v>
      </c>
      <c r="AA48" s="4" t="n">
        <f aca="true">IF(K48="W",IFERROR(IF(AND(AC48&gt;0,(TODAY()-AC48)&lt;36*365.25/12),2400/((TODAY()-AC48)/30.44/6+1),0),0)+IFERROR(IF(AND(AD48&gt;0,(TODAY()-AD48)&lt;36*365.25/12),2400/((TODAY()-AD48)/30.44/6+1),0),0)+IFERROR(IF(AND(AE48&gt;0,(TODAY()-AE48)&lt;36*365.25/12),2400/((TODAY()-AE48)/30.44/6+1),0),0)+IFERROR(IF(AND(AF48&gt;0,(TODAY()-AF48)&lt;36*365.25/12),2400/((TODAY()-AF48)/30.44/6+1),0),0)+IFERROR(IF(AND(AG48&gt;0,(TODAY()-AG48)&lt;36*365.25/12),2400/((TODAY()-AG48)/30.44/6+1),0),0),0)</f>
        <v>0</v>
      </c>
      <c r="AB48" s="4" t="n">
        <f aca="false">COUNTA(AC48:AG48)</f>
        <v>0</v>
      </c>
      <c r="AY48" s="1" t="n">
        <v>48</v>
      </c>
      <c r="BK48" s="1" t="s">
        <v>219</v>
      </c>
      <c r="BL48" s="1" t="s">
        <v>220</v>
      </c>
      <c r="BM48" s="1" t="s">
        <v>173</v>
      </c>
      <c r="BN48" s="1" t="s">
        <v>221</v>
      </c>
      <c r="BO48" s="1" t="s">
        <v>222</v>
      </c>
      <c r="BP48" s="1" t="s">
        <v>223</v>
      </c>
      <c r="BQ48" s="1" t="s">
        <v>224</v>
      </c>
      <c r="BR48" s="1" t="n">
        <v>17</v>
      </c>
      <c r="BS48" s="1" t="s">
        <v>225</v>
      </c>
      <c r="BT48" s="1" t="n">
        <v>75</v>
      </c>
      <c r="BU48" s="1" t="n">
        <v>1</v>
      </c>
      <c r="BY48" s="1" t="n">
        <v>3430</v>
      </c>
      <c r="BZ48" s="1" t="n">
        <v>0</v>
      </c>
      <c r="CA48" s="1" t="n">
        <v>0</v>
      </c>
      <c r="CE48" s="1" t="s">
        <v>225</v>
      </c>
      <c r="CF48" s="1" t="s">
        <v>225</v>
      </c>
      <c r="CI48" s="1" t="s">
        <v>225</v>
      </c>
    </row>
    <row r="49" customFormat="false" ht="15" hidden="false" customHeight="true" outlineLevel="0" collapsed="false">
      <c r="B49" s="1" t="n">
        <v>49</v>
      </c>
      <c r="L49" s="4" t="n">
        <f aca="true">YEAR(TODAY())-H49</f>
        <v>2026</v>
      </c>
      <c r="N49" s="4" t="n">
        <f aca="true">O49+IF(AT49=1,480,0)+AA49+IF(K49="M",IF(AH49&gt;0,IF((TODAY()-AH49)/30.44&lt;6,2400,IF((TODAY()-AH49)/30.44&lt;12,1200,0)),0),0)+IF(AP49&gt;0,AP49,0)-R49-T49-S49-U49</f>
        <v>450</v>
      </c>
      <c r="O49" s="4" t="n">
        <f aca="true">IF(X49=1,1200,IF(YEAR(TODAY())-H49&lt;18,0,IF(YEAR(TODAY())-H49&lt;65,300,450)))</f>
        <v>450</v>
      </c>
      <c r="R49" s="4" t="n">
        <f aca="false">IF(MIN(AM49+IF(ISNUMBER(AN49),AN49,0),16000)&gt;=600,(MIN(AM49+IF(ISNUMBER(AN49),AN49,0),16000)-600)^0.8/10000*MIN(AM49+IF(ISNUMBER(AN49),AN49,0),16000),0)</f>
        <v>0</v>
      </c>
      <c r="S49" s="4" t="n">
        <f aca="false">IF(AB49=0,0,IF(AB49=1,30,IF(AB49=2,60,IF(AB49=3,120,IF(AB49=4,180,240)))))</f>
        <v>0</v>
      </c>
      <c r="T49" s="4" t="n">
        <f aca="false">IF(Y49&gt;0,Y49*600/MAX(1,Z49),0)</f>
        <v>0</v>
      </c>
      <c r="U49" s="4" t="n">
        <f aca="false">IF(AW49&gt;0,AW49*1000000*MAX(0,MIN(22,1+LOG10(AW49)))/100/12,0)</f>
        <v>0</v>
      </c>
      <c r="Z49" s="1" t="n">
        <v>1</v>
      </c>
      <c r="AA49" s="4" t="n">
        <f aca="true">IF(K49="W",IFERROR(IF(AND(AC49&gt;0,(TODAY()-AC49)&lt;36*365.25/12),2400/((TODAY()-AC49)/30.44/6+1),0),0)+IFERROR(IF(AND(AD49&gt;0,(TODAY()-AD49)&lt;36*365.25/12),2400/((TODAY()-AD49)/30.44/6+1),0),0)+IFERROR(IF(AND(AE49&gt;0,(TODAY()-AE49)&lt;36*365.25/12),2400/((TODAY()-AE49)/30.44/6+1),0),0)+IFERROR(IF(AND(AF49&gt;0,(TODAY()-AF49)&lt;36*365.25/12),2400/((TODAY()-AF49)/30.44/6+1),0),0)+IFERROR(IF(AND(AG49&gt;0,(TODAY()-AG49)&lt;36*365.25/12),2400/((TODAY()-AG49)/30.44/6+1),0),0),0)</f>
        <v>0</v>
      </c>
      <c r="AB49" s="4" t="n">
        <f aca="false">COUNTA(AC49:AG49)</f>
        <v>0</v>
      </c>
      <c r="AY49" s="1" t="n">
        <v>49</v>
      </c>
      <c r="BJ49" s="1" t="s">
        <v>226</v>
      </c>
      <c r="BK49" s="1" t="n">
        <v>25000</v>
      </c>
      <c r="BL49" s="1" t="n">
        <v>15</v>
      </c>
      <c r="BM49" s="1" t="n">
        <v>6</v>
      </c>
      <c r="BP49" s="1" t="n">
        <v>2023</v>
      </c>
      <c r="BR49" s="1" t="n">
        <v>18</v>
      </c>
      <c r="BS49" s="1" t="s">
        <v>227</v>
      </c>
      <c r="BT49" s="1" t="n">
        <v>750</v>
      </c>
      <c r="BU49" s="1" t="n">
        <v>2</v>
      </c>
      <c r="BY49" s="1" t="n">
        <v>8679</v>
      </c>
      <c r="CA49" s="1" t="n">
        <v>0</v>
      </c>
      <c r="CE49" s="1" t="s">
        <v>227</v>
      </c>
      <c r="CF49" s="1" t="s">
        <v>227</v>
      </c>
      <c r="CI49" s="1" t="s">
        <v>227</v>
      </c>
    </row>
    <row r="50" customFormat="false" ht="15" hidden="false" customHeight="true" outlineLevel="0" collapsed="false">
      <c r="B50" s="1" t="s">
        <v>1</v>
      </c>
      <c r="E50" s="1" t="s">
        <v>4</v>
      </c>
      <c r="F50" s="1" t="s">
        <v>5</v>
      </c>
      <c r="G50" s="1" t="s">
        <v>6</v>
      </c>
      <c r="H50" s="1" t="s">
        <v>7</v>
      </c>
      <c r="I50" s="1" t="s">
        <v>8</v>
      </c>
      <c r="J50" s="1" t="s">
        <v>9</v>
      </c>
      <c r="K50" s="1" t="s">
        <v>10</v>
      </c>
      <c r="L50" s="1" t="s">
        <v>11</v>
      </c>
      <c r="M50" s="1" t="s">
        <v>12</v>
      </c>
      <c r="N50" s="1" t="s">
        <v>13</v>
      </c>
      <c r="O50" s="1" t="s">
        <v>14</v>
      </c>
      <c r="P50" s="1" t="s">
        <v>15</v>
      </c>
      <c r="Q50" s="1" t="s">
        <v>16</v>
      </c>
      <c r="R50" s="1" t="s">
        <v>17</v>
      </c>
      <c r="S50" s="1" t="s">
        <v>18</v>
      </c>
      <c r="T50" s="1" t="s">
        <v>19</v>
      </c>
      <c r="U50" s="1" t="s">
        <v>20</v>
      </c>
      <c r="V50" s="1" t="s">
        <v>21</v>
      </c>
      <c r="W50" s="1" t="s">
        <v>22</v>
      </c>
      <c r="X50" s="1" t="s">
        <v>23</v>
      </c>
      <c r="Y50" s="1" t="s">
        <v>19</v>
      </c>
      <c r="Z50" s="1" t="s">
        <v>24</v>
      </c>
      <c r="AA50" s="1" t="s">
        <v>25</v>
      </c>
      <c r="AB50" s="1" t="s">
        <v>26</v>
      </c>
      <c r="AC50" s="1" t="s">
        <v>27</v>
      </c>
      <c r="AD50" s="1" t="s">
        <v>28</v>
      </c>
      <c r="AE50" s="1" t="s">
        <v>29</v>
      </c>
      <c r="AF50" s="1" t="s">
        <v>30</v>
      </c>
      <c r="AG50" s="1" t="s">
        <v>31</v>
      </c>
      <c r="AH50" s="1" t="s">
        <v>32</v>
      </c>
      <c r="AI50" s="1" t="s">
        <v>33</v>
      </c>
      <c r="AJ50" s="1" t="s">
        <v>34</v>
      </c>
      <c r="AK50" s="1" t="s">
        <v>35</v>
      </c>
      <c r="AL50" s="1" t="s">
        <v>17</v>
      </c>
      <c r="AM50" s="1" t="s">
        <v>36</v>
      </c>
      <c r="AN50" s="1" t="s">
        <v>37</v>
      </c>
      <c r="AO50" s="1" t="s">
        <v>38</v>
      </c>
      <c r="AS50" s="1" t="s">
        <v>41</v>
      </c>
      <c r="AT50" s="1" t="s">
        <v>42</v>
      </c>
      <c r="AU50" s="1" t="s">
        <v>43</v>
      </c>
      <c r="AV50" s="1" t="s">
        <v>44</v>
      </c>
      <c r="AW50" s="1" t="s">
        <v>45</v>
      </c>
      <c r="AX50" s="1" t="s">
        <v>46</v>
      </c>
      <c r="AY50" s="1" t="s">
        <v>1</v>
      </c>
      <c r="AZ50" s="1" t="s">
        <v>12</v>
      </c>
      <c r="BJ50" s="1" t="s">
        <v>228</v>
      </c>
      <c r="BK50" s="1" t="n">
        <v>5000</v>
      </c>
      <c r="BL50" s="1" t="n">
        <v>15</v>
      </c>
      <c r="BM50" s="1" t="n">
        <v>6</v>
      </c>
      <c r="BP50" s="1" t="n">
        <v>2023</v>
      </c>
      <c r="BR50" s="1" t="n">
        <v>19</v>
      </c>
      <c r="BS50" s="1" t="s">
        <v>229</v>
      </c>
      <c r="BT50" s="1" t="n">
        <v>450</v>
      </c>
      <c r="BU50" s="1" t="n">
        <v>20</v>
      </c>
      <c r="BY50" s="1" t="n">
        <v>176</v>
      </c>
      <c r="CE50" s="1" t="s">
        <v>229</v>
      </c>
      <c r="CF50" s="1" t="s">
        <v>229</v>
      </c>
      <c r="CI50" s="1" t="s">
        <v>229</v>
      </c>
    </row>
    <row r="51" customFormat="false" ht="15" hidden="false" customHeight="true" outlineLevel="0" collapsed="false">
      <c r="B51" s="1" t="n">
        <v>51</v>
      </c>
      <c r="L51" s="4" t="n">
        <f aca="true">YEAR(TODAY())-H51</f>
        <v>2026</v>
      </c>
      <c r="N51" s="4" t="n">
        <f aca="true">O51+IF(AT51=1,480,0)+AA51+IF(K51="M",IF(AH51&gt;0,IF((TODAY()-AH51)/30.44&lt;6,2400,IF((TODAY()-AH51)/30.44&lt;12,1200,0)),0),0)+IF(AP51&gt;0,AP51,0)-R51-T51-S51-U51</f>
        <v>450</v>
      </c>
      <c r="O51" s="4" t="n">
        <f aca="true">IF(X51=1,1200,IF(YEAR(TODAY())-H51&lt;18,0,IF(YEAR(TODAY())-H51&lt;65,300,450)))</f>
        <v>450</v>
      </c>
      <c r="R51" s="4" t="n">
        <f aca="false">IF(MIN(AM51+IF(ISNUMBER(AN51),AN51,0),16000)&gt;=600,(MIN(AM51+IF(ISNUMBER(AN51),AN51,0),16000)-600)^0.8/10000*MIN(AM51+IF(ISNUMBER(AN51),AN51,0),16000),0)</f>
        <v>0</v>
      </c>
      <c r="S51" s="4" t="n">
        <f aca="false">IF(AB51=0,0,IF(AB51=1,30,IF(AB51=2,60,IF(AB51=3,120,IF(AB51=4,180,240)))))</f>
        <v>0</v>
      </c>
      <c r="T51" s="4" t="n">
        <f aca="false">IF(Y51&gt;0,Y51*600/MAX(1,Z51),0)</f>
        <v>0</v>
      </c>
      <c r="U51" s="4" t="n">
        <f aca="false">IF(AW51&gt;0,AW51*1000000*MAX(0,MIN(22,1+LOG10(AW51)))/100/12,0)</f>
        <v>0</v>
      </c>
      <c r="AA51" s="4" t="n">
        <f aca="true">IF(K51="W",IFERROR(IF(AND(AC51&gt;0,(TODAY()-AC51)&lt;36*365.25/12),2400/((TODAY()-AC51)/30.44/6+1),0),0)+IFERROR(IF(AND(AD51&gt;0,(TODAY()-AD51)&lt;36*365.25/12),2400/((TODAY()-AD51)/30.44/6+1),0),0)+IFERROR(IF(AND(AE51&gt;0,(TODAY()-AE51)&lt;36*365.25/12),2400/((TODAY()-AE51)/30.44/6+1),0),0)+IFERROR(IF(AND(AF51&gt;0,(TODAY()-AF51)&lt;36*365.25/12),2400/((TODAY()-AF51)/30.44/6+1),0),0)+IFERROR(IF(AND(AG51&gt;0,(TODAY()-AG51)&lt;36*365.25/12),2400/((TODAY()-AG51)/30.44/6+1),0),0),0)</f>
        <v>0</v>
      </c>
      <c r="AB51" s="4" t="n">
        <f aca="false">COUNTA(AC51:AG51)</f>
        <v>0</v>
      </c>
      <c r="AY51" s="1" t="n">
        <v>51</v>
      </c>
      <c r="BJ51" s="1" t="s">
        <v>230</v>
      </c>
      <c r="BK51" s="1" t="n">
        <v>10000</v>
      </c>
      <c r="BL51" s="1" t="n">
        <v>15</v>
      </c>
      <c r="BM51" s="1" t="n">
        <v>6</v>
      </c>
      <c r="BP51" s="1" t="n">
        <v>2023</v>
      </c>
      <c r="BR51" s="1" t="n">
        <v>20</v>
      </c>
      <c r="BS51" s="1" t="s">
        <v>231</v>
      </c>
      <c r="BT51" s="1" t="n">
        <v>400</v>
      </c>
      <c r="BU51" s="1" t="n">
        <v>6</v>
      </c>
      <c r="BY51" s="1" t="n">
        <v>1080</v>
      </c>
      <c r="CE51" s="1" t="s">
        <v>231</v>
      </c>
      <c r="CF51" s="1" t="s">
        <v>231</v>
      </c>
      <c r="CI51" s="1" t="s">
        <v>231</v>
      </c>
    </row>
    <row r="52" customFormat="false" ht="15" hidden="false" customHeight="true" outlineLevel="0" collapsed="false">
      <c r="B52" s="1" t="n">
        <v>52</v>
      </c>
      <c r="L52" s="4" t="n">
        <f aca="true">YEAR(TODAY())-H52</f>
        <v>2026</v>
      </c>
      <c r="N52" s="4" t="n">
        <f aca="true">O52+IF(AT52=1,480,0)+AA52+IF(K52="M",IF(AH52&gt;0,IF((TODAY()-AH52)/30.44&lt;6,2400,IF((TODAY()-AH52)/30.44&lt;12,1200,0)),0),0)+IF(AP52&gt;0,AP52,0)-R52-T52-S52-U52</f>
        <v>450</v>
      </c>
      <c r="O52" s="4" t="n">
        <f aca="true">IF(X52=1,1200,IF(YEAR(TODAY())-H52&lt;18,0,IF(YEAR(TODAY())-H52&lt;65,300,450)))</f>
        <v>450</v>
      </c>
      <c r="R52" s="4" t="n">
        <f aca="false">IF(MIN(AM52+IF(ISNUMBER(AN52),AN52,0),16000)&gt;=600,(MIN(AM52+IF(ISNUMBER(AN52),AN52,0),16000)-600)^0.8/10000*MIN(AM52+IF(ISNUMBER(AN52),AN52,0),16000),0)</f>
        <v>0</v>
      </c>
      <c r="S52" s="4" t="n">
        <f aca="false">IF(AB52=0,0,IF(AB52=1,30,IF(AB52=2,60,IF(AB52=3,120,IF(AB52=4,180,240)))))</f>
        <v>0</v>
      </c>
      <c r="T52" s="4" t="n">
        <f aca="false">IF(Y52&gt;0,Y52*600/MAX(1,Z52),0)</f>
        <v>0</v>
      </c>
      <c r="U52" s="4" t="n">
        <f aca="false">IF(AW52&gt;0,AW52*1000000*MAX(0,MIN(22,1+LOG10(AW52)))/100/12,0)</f>
        <v>0</v>
      </c>
      <c r="AA52" s="4" t="n">
        <f aca="true">IF(K52="W",IFERROR(IF(AND(AC52&gt;0,(TODAY()-AC52)&lt;36*365.25/12),2400/((TODAY()-AC52)/30.44/6+1),0),0)+IFERROR(IF(AND(AD52&gt;0,(TODAY()-AD52)&lt;36*365.25/12),2400/((TODAY()-AD52)/30.44/6+1),0),0)+IFERROR(IF(AND(AE52&gt;0,(TODAY()-AE52)&lt;36*365.25/12),2400/((TODAY()-AE52)/30.44/6+1),0),0)+IFERROR(IF(AND(AF52&gt;0,(TODAY()-AF52)&lt;36*365.25/12),2400/((TODAY()-AF52)/30.44/6+1),0),0)+IFERROR(IF(AND(AG52&gt;0,(TODAY()-AG52)&lt;36*365.25/12),2400/((TODAY()-AG52)/30.44/6+1),0),0),0)</f>
        <v>0</v>
      </c>
      <c r="AB52" s="4" t="n">
        <f aca="false">COUNTA(AC52:AG52)</f>
        <v>0</v>
      </c>
      <c r="AY52" s="1" t="n">
        <v>52</v>
      </c>
      <c r="BR52" s="1" t="n">
        <v>21</v>
      </c>
      <c r="BS52" s="1" t="s">
        <v>232</v>
      </c>
      <c r="BT52" s="1" t="n">
        <v>600</v>
      </c>
      <c r="BU52" s="1" t="n">
        <v>10</v>
      </c>
      <c r="BY52" s="1" t="n">
        <v>1125</v>
      </c>
      <c r="BZ52" s="1" t="s">
        <v>233</v>
      </c>
      <c r="CA52" s="1" t="s">
        <v>233</v>
      </c>
      <c r="CE52" s="1" t="s">
        <v>232</v>
      </c>
      <c r="CF52" s="1" t="s">
        <v>232</v>
      </c>
      <c r="CI52" s="1" t="s">
        <v>232</v>
      </c>
    </row>
    <row r="53" customFormat="false" ht="15" hidden="false" customHeight="true" outlineLevel="0" collapsed="false">
      <c r="B53" s="1" t="n">
        <v>53</v>
      </c>
      <c r="L53" s="4" t="n">
        <f aca="true">YEAR(TODAY())-H53</f>
        <v>2026</v>
      </c>
      <c r="N53" s="4" t="n">
        <f aca="true">O53+IF(AT53=1,480,0)+AA53+IF(K53="M",IF(AH53&gt;0,IF((TODAY()-AH53)/30.44&lt;6,2400,IF((TODAY()-AH53)/30.44&lt;12,1200,0)),0),0)+IF(AP53&gt;0,AP53,0)-R53-T53-S53-U53</f>
        <v>450</v>
      </c>
      <c r="O53" s="4" t="n">
        <f aca="true">IF(X53=1,1200,IF(YEAR(TODAY())-H53&lt;18,0,IF(YEAR(TODAY())-H53&lt;65,300,450)))</f>
        <v>450</v>
      </c>
      <c r="R53" s="4" t="n">
        <f aca="false">IF(MIN(AM53+IF(ISNUMBER(AN53),AN53,0),16000)&gt;=600,(MIN(AM53+IF(ISNUMBER(AN53),AN53,0),16000)-600)^0.8/10000*MIN(AM53+IF(ISNUMBER(AN53),AN53,0),16000),0)</f>
        <v>0</v>
      </c>
      <c r="S53" s="4" t="n">
        <f aca="false">IF(AB53=0,0,IF(AB53=1,30,IF(AB53=2,60,IF(AB53=3,120,IF(AB53=4,180,240)))))</f>
        <v>0</v>
      </c>
      <c r="T53" s="4" t="n">
        <f aca="false">IF(Y53&gt;0,Y53*600/MAX(1,Z53),0)</f>
        <v>0</v>
      </c>
      <c r="U53" s="4" t="n">
        <f aca="false">IF(AW53&gt;0,AW53*1000000*MAX(0,MIN(22,1+LOG10(AW53)))/100/12,0)</f>
        <v>0</v>
      </c>
      <c r="AA53" s="4" t="n">
        <f aca="true">IF(K53="W",IFERROR(IF(AND(AC53&gt;0,(TODAY()-AC53)&lt;36*365.25/12),2400/((TODAY()-AC53)/30.44/6+1),0),0)+IFERROR(IF(AND(AD53&gt;0,(TODAY()-AD53)&lt;36*365.25/12),2400/((TODAY()-AD53)/30.44/6+1),0),0)+IFERROR(IF(AND(AE53&gt;0,(TODAY()-AE53)&lt;36*365.25/12),2400/((TODAY()-AE53)/30.44/6+1),0),0)+IFERROR(IF(AND(AF53&gt;0,(TODAY()-AF53)&lt;36*365.25/12),2400/((TODAY()-AF53)/30.44/6+1),0),0)+IFERROR(IF(AND(AG53&gt;0,(TODAY()-AG53)&lt;36*365.25/12),2400/((TODAY()-AG53)/30.44/6+1),0),0),0)</f>
        <v>0</v>
      </c>
      <c r="AB53" s="4" t="n">
        <f aca="false">COUNTA(AC53:AG53)</f>
        <v>0</v>
      </c>
      <c r="AY53" s="1" t="n">
        <v>53</v>
      </c>
      <c r="BR53" s="1" t="n">
        <v>22</v>
      </c>
      <c r="BS53" s="1" t="s">
        <v>234</v>
      </c>
      <c r="BT53" s="1" t="n">
        <v>500</v>
      </c>
      <c r="BU53" s="1" t="n">
        <v>20</v>
      </c>
      <c r="BY53" s="1" t="n">
        <v>176</v>
      </c>
      <c r="CE53" s="1" t="s">
        <v>234</v>
      </c>
      <c r="CF53" s="1" t="s">
        <v>234</v>
      </c>
      <c r="CI53" s="1" t="s">
        <v>234</v>
      </c>
    </row>
    <row r="54" customFormat="false" ht="15" hidden="false" customHeight="true" outlineLevel="0" collapsed="false">
      <c r="B54" s="1" t="n">
        <v>54</v>
      </c>
      <c r="L54" s="4" t="n">
        <f aca="true">YEAR(TODAY())-H54</f>
        <v>2026</v>
      </c>
      <c r="N54" s="4" t="n">
        <f aca="true">O54+IF(AT54=1,480,0)+AA54+IF(K54="M",IF(AH54&gt;0,IF((TODAY()-AH54)/30.44&lt;6,2400,IF((TODAY()-AH54)/30.44&lt;12,1200,0)),0),0)+IF(AP54&gt;0,AP54,0)-R54-T54-S54-U54</f>
        <v>450</v>
      </c>
      <c r="O54" s="4" t="n">
        <f aca="true">IF(X54=1,1200,IF(YEAR(TODAY())-H54&lt;18,0,IF(YEAR(TODAY())-H54&lt;65,300,450)))</f>
        <v>450</v>
      </c>
      <c r="R54" s="4" t="n">
        <f aca="false">IF(MIN(AM54+IF(ISNUMBER(AN54),AN54,0),16000)&gt;=600,(MIN(AM54+IF(ISNUMBER(AN54),AN54,0),16000)-600)^0.8/10000*MIN(AM54+IF(ISNUMBER(AN54),AN54,0),16000),0)</f>
        <v>0</v>
      </c>
      <c r="S54" s="4" t="n">
        <f aca="false">IF(AB54=0,0,IF(AB54=1,30,IF(AB54=2,60,IF(AB54=3,120,IF(AB54=4,180,240)))))</f>
        <v>0</v>
      </c>
      <c r="T54" s="4" t="n">
        <f aca="false">IF(Y54&gt;0,Y54*600/MAX(1,Z54),0)</f>
        <v>0</v>
      </c>
      <c r="U54" s="4" t="n">
        <f aca="false">IF(AW54&gt;0,AW54*1000000*MAX(0,MIN(22,1+LOG10(AW54)))/100/12,0)</f>
        <v>0</v>
      </c>
      <c r="AA54" s="4" t="n">
        <f aca="true">IF(K54="W",IFERROR(IF(AND(AC54&gt;0,(TODAY()-AC54)&lt;36*365.25/12),2400/((TODAY()-AC54)/30.44/6+1),0),0)+IFERROR(IF(AND(AD54&gt;0,(TODAY()-AD54)&lt;36*365.25/12),2400/((TODAY()-AD54)/30.44/6+1),0),0)+IFERROR(IF(AND(AE54&gt;0,(TODAY()-AE54)&lt;36*365.25/12),2400/((TODAY()-AE54)/30.44/6+1),0),0)+IFERROR(IF(AND(AF54&gt;0,(TODAY()-AF54)&lt;36*365.25/12),2400/((TODAY()-AF54)/30.44/6+1),0),0)+IFERROR(IF(AND(AG54&gt;0,(TODAY()-AG54)&lt;36*365.25/12),2400/((TODAY()-AG54)/30.44/6+1),0),0),0)</f>
        <v>0</v>
      </c>
      <c r="AB54" s="4" t="n">
        <f aca="false">COUNTA(AC54:AG54)</f>
        <v>0</v>
      </c>
      <c r="AY54" s="1" t="n">
        <v>54</v>
      </c>
      <c r="BR54" s="1" t="n">
        <v>23</v>
      </c>
      <c r="BS54" s="1" t="s">
        <v>235</v>
      </c>
      <c r="BT54" s="1" t="n">
        <v>300</v>
      </c>
      <c r="BU54" s="1" t="n">
        <v>12</v>
      </c>
      <c r="BY54" s="1" t="n">
        <v>616</v>
      </c>
      <c r="CA54" s="1" t="n">
        <v>0</v>
      </c>
      <c r="CE54" s="1" t="s">
        <v>236</v>
      </c>
      <c r="CF54" s="1" t="s">
        <v>236</v>
      </c>
      <c r="CI54" s="1" t="s">
        <v>236</v>
      </c>
    </row>
    <row r="55" customFormat="false" ht="15" hidden="false" customHeight="true" outlineLevel="0" collapsed="false">
      <c r="B55" s="1" t="n">
        <v>55</v>
      </c>
      <c r="L55" s="4" t="n">
        <f aca="true">YEAR(TODAY())-H55</f>
        <v>2026</v>
      </c>
      <c r="N55" s="4" t="n">
        <f aca="true">O55+IF(AT55=1,480,0)+AA55+IF(K55="M",IF(AH55&gt;0,IF((TODAY()-AH55)/30.44&lt;6,2400,IF((TODAY()-AH55)/30.44&lt;12,1200,0)),0),0)+IF(AP55&gt;0,AP55,0)-R55-T55-S55-U55</f>
        <v>450</v>
      </c>
      <c r="O55" s="4" t="n">
        <f aca="true">IF(X55=1,1200,IF(YEAR(TODAY())-H55&lt;18,0,IF(YEAR(TODAY())-H55&lt;65,300,450)))</f>
        <v>450</v>
      </c>
      <c r="R55" s="4" t="n">
        <f aca="false">IF(MIN(AM55+IF(ISNUMBER(AN55),AN55,0),16000)&gt;=600,(MIN(AM55+IF(ISNUMBER(AN55),AN55,0),16000)-600)^0.8/10000*MIN(AM55+IF(ISNUMBER(AN55),AN55,0),16000),0)</f>
        <v>0</v>
      </c>
      <c r="S55" s="4" t="n">
        <f aca="false">IF(AB55=0,0,IF(AB55=1,30,IF(AB55=2,60,IF(AB55=3,120,IF(AB55=4,180,240)))))</f>
        <v>0</v>
      </c>
      <c r="T55" s="4" t="n">
        <f aca="false">IF(Y55&gt;0,Y55*600/MAX(1,Z55),0)</f>
        <v>0</v>
      </c>
      <c r="U55" s="4" t="n">
        <f aca="false">IF(AW55&gt;0,AW55*1000000*MAX(0,MIN(22,1+LOG10(AW55)))/100/12,0)</f>
        <v>0</v>
      </c>
      <c r="AA55" s="4" t="n">
        <f aca="true">IF(K55="W",IFERROR(IF(AND(AC55&gt;0,(TODAY()-AC55)&lt;36*365.25/12),2400/((TODAY()-AC55)/30.44/6+1),0),0)+IFERROR(IF(AND(AD55&gt;0,(TODAY()-AD55)&lt;36*365.25/12),2400/((TODAY()-AD55)/30.44/6+1),0),0)+IFERROR(IF(AND(AE55&gt;0,(TODAY()-AE55)&lt;36*365.25/12),2400/((TODAY()-AE55)/30.44/6+1),0),0)+IFERROR(IF(AND(AF55&gt;0,(TODAY()-AF55)&lt;36*365.25/12),2400/((TODAY()-AF55)/30.44/6+1),0),0)+IFERROR(IF(AND(AG55&gt;0,(TODAY()-AG55)&lt;36*365.25/12),2400/((TODAY()-AG55)/30.44/6+1),0),0),0)</f>
        <v>0</v>
      </c>
      <c r="AB55" s="4" t="n">
        <f aca="false">COUNTA(AC55:AG55)</f>
        <v>0</v>
      </c>
      <c r="AY55" s="1" t="n">
        <v>55</v>
      </c>
      <c r="BR55" s="1" t="n">
        <v>24</v>
      </c>
      <c r="BS55" s="1" t="s">
        <v>237</v>
      </c>
      <c r="CE55" s="1" t="s">
        <v>237</v>
      </c>
    </row>
    <row r="56" customFormat="false" ht="15" hidden="false" customHeight="true" outlineLevel="0" collapsed="false">
      <c r="B56" s="1" t="n">
        <v>56</v>
      </c>
      <c r="L56" s="4" t="n">
        <f aca="true">YEAR(TODAY())-H56</f>
        <v>2026</v>
      </c>
      <c r="N56" s="4" t="n">
        <f aca="true">O56+IF(AT56=1,480,0)+AA56+IF(K56="M",IF(AH56&gt;0,IF((TODAY()-AH56)/30.44&lt;6,2400,IF((TODAY()-AH56)/30.44&lt;12,1200,0)),0),0)+IF(AP56&gt;0,AP56,0)-R56-T56-S56-U56</f>
        <v>450</v>
      </c>
      <c r="O56" s="4" t="n">
        <f aca="true">IF(X56=1,1200,IF(YEAR(TODAY())-H56&lt;18,0,IF(YEAR(TODAY())-H56&lt;65,300,450)))</f>
        <v>450</v>
      </c>
      <c r="R56" s="4" t="n">
        <f aca="false">IF(MIN(AM56+IF(ISNUMBER(AN56),AN56,0),16000)&gt;=600,(MIN(AM56+IF(ISNUMBER(AN56),AN56,0),16000)-600)^0.8/10000*MIN(AM56+IF(ISNUMBER(AN56),AN56,0),16000),0)</f>
        <v>0</v>
      </c>
      <c r="S56" s="4" t="n">
        <f aca="false">IF(AB56=0,0,IF(AB56=1,30,IF(AB56=2,60,IF(AB56=3,120,IF(AB56=4,180,240)))))</f>
        <v>0</v>
      </c>
      <c r="T56" s="4" t="n">
        <f aca="false">IF(Y56&gt;0,Y56*600/MAX(1,Z56),0)</f>
        <v>0</v>
      </c>
      <c r="U56" s="4" t="n">
        <f aca="false">IF(AW56&gt;0,AW56*1000000*MAX(0,MIN(22,1+LOG10(AW56)))/100/12,0)</f>
        <v>0</v>
      </c>
      <c r="AA56" s="4" t="n">
        <f aca="true">IF(K56="W",IFERROR(IF(AND(AC56&gt;0,(TODAY()-AC56)&lt;36*365.25/12),2400/((TODAY()-AC56)/30.44/6+1),0),0)+IFERROR(IF(AND(AD56&gt;0,(TODAY()-AD56)&lt;36*365.25/12),2400/((TODAY()-AD56)/30.44/6+1),0),0)+IFERROR(IF(AND(AE56&gt;0,(TODAY()-AE56)&lt;36*365.25/12),2400/((TODAY()-AE56)/30.44/6+1),0),0)+IFERROR(IF(AND(AF56&gt;0,(TODAY()-AF56)&lt;36*365.25/12),2400/((TODAY()-AF56)/30.44/6+1),0),0)+IFERROR(IF(AND(AG56&gt;0,(TODAY()-AG56)&lt;36*365.25/12),2400/((TODAY()-AG56)/30.44/6+1),0),0),0)</f>
        <v>0</v>
      </c>
      <c r="AB56" s="4" t="n">
        <f aca="false">COUNTA(AC56:AG56)</f>
        <v>0</v>
      </c>
      <c r="AY56" s="1" t="n">
        <v>56</v>
      </c>
      <c r="BR56" s="1" t="n">
        <v>25</v>
      </c>
      <c r="BS56" s="1" t="s">
        <v>238</v>
      </c>
      <c r="CE56" s="1" t="s">
        <v>238</v>
      </c>
    </row>
    <row r="57" customFormat="false" ht="15" hidden="false" customHeight="true" outlineLevel="0" collapsed="false">
      <c r="B57" s="1" t="n">
        <v>57</v>
      </c>
      <c r="L57" s="4" t="n">
        <f aca="true">YEAR(TODAY())-H57</f>
        <v>2026</v>
      </c>
      <c r="N57" s="4" t="n">
        <f aca="true">O57+IF(AT57=1,480,0)+AA57+IF(K57="M",IF(AH57&gt;0,IF((TODAY()-AH57)/30.44&lt;6,2400,IF((TODAY()-AH57)/30.44&lt;12,1200,0)),0),0)+IF(AP57&gt;0,AP57,0)-R57-T57-S57-U57</f>
        <v>450</v>
      </c>
      <c r="O57" s="4" t="n">
        <f aca="true">IF(X57=1,1200,IF(YEAR(TODAY())-H57&lt;18,0,IF(YEAR(TODAY())-H57&lt;65,300,450)))</f>
        <v>450</v>
      </c>
      <c r="R57" s="4" t="n">
        <f aca="false">IF(MIN(AM57+IF(ISNUMBER(AN57),AN57,0),16000)&gt;=600,(MIN(AM57+IF(ISNUMBER(AN57),AN57,0),16000)-600)^0.8/10000*MIN(AM57+IF(ISNUMBER(AN57),AN57,0),16000),0)</f>
        <v>0</v>
      </c>
      <c r="S57" s="4" t="n">
        <f aca="false">IF(AB57=0,0,IF(AB57=1,30,IF(AB57=2,60,IF(AB57=3,120,IF(AB57=4,180,240)))))</f>
        <v>0</v>
      </c>
      <c r="T57" s="4" t="n">
        <f aca="false">IF(Y57&gt;0,Y57*600/MAX(1,Z57),0)</f>
        <v>0</v>
      </c>
      <c r="U57" s="4" t="n">
        <f aca="false">IF(AW57&gt;0,AW57*1000000*MAX(0,MIN(22,1+LOG10(AW57)))/100/12,0)</f>
        <v>0</v>
      </c>
      <c r="AA57" s="4" t="n">
        <f aca="true">IF(K57="W",IFERROR(IF(AND(AC57&gt;0,(TODAY()-AC57)&lt;36*365.25/12),2400/((TODAY()-AC57)/30.44/6+1),0),0)+IFERROR(IF(AND(AD57&gt;0,(TODAY()-AD57)&lt;36*365.25/12),2400/((TODAY()-AD57)/30.44/6+1),0),0)+IFERROR(IF(AND(AE57&gt;0,(TODAY()-AE57)&lt;36*365.25/12),2400/((TODAY()-AE57)/30.44/6+1),0),0)+IFERROR(IF(AND(AF57&gt;0,(TODAY()-AF57)&lt;36*365.25/12),2400/((TODAY()-AF57)/30.44/6+1),0),0)+IFERROR(IF(AND(AG57&gt;0,(TODAY()-AG57)&lt;36*365.25/12),2400/((TODAY()-AG57)/30.44/6+1),0),0),0)</f>
        <v>0</v>
      </c>
      <c r="AB57" s="4" t="n">
        <f aca="false">COUNTA(AC57:AG57)</f>
        <v>0</v>
      </c>
      <c r="AY57" s="1" t="n">
        <v>57</v>
      </c>
      <c r="BB57" s="1" t="s">
        <v>239</v>
      </c>
      <c r="BC57" s="1" t="s">
        <v>240</v>
      </c>
      <c r="BD57" s="1" t="s">
        <v>241</v>
      </c>
      <c r="BR57" s="1" t="n">
        <v>26</v>
      </c>
      <c r="BS57" s="1" t="s">
        <v>242</v>
      </c>
      <c r="CE57" s="1" t="s">
        <v>242</v>
      </c>
    </row>
    <row r="58" customFormat="false" ht="15" hidden="false" customHeight="true" outlineLevel="0" collapsed="false">
      <c r="B58" s="1" t="n">
        <v>58</v>
      </c>
      <c r="L58" s="4" t="n">
        <f aca="true">YEAR(TODAY())-H58</f>
        <v>2026</v>
      </c>
      <c r="N58" s="4" t="n">
        <f aca="true">O58+IF(AT58=1,480,0)+AA58+IF(K58="M",IF(AH58&gt;0,IF((TODAY()-AH58)/30.44&lt;6,2400,IF((TODAY()-AH58)/30.44&lt;12,1200,0)),0),0)+IF(AP58&gt;0,AP58,0)-R58-T58-S58-U58</f>
        <v>450</v>
      </c>
      <c r="O58" s="4" t="n">
        <f aca="true">IF(X58=1,1200,IF(YEAR(TODAY())-H58&lt;18,0,IF(YEAR(TODAY())-H58&lt;65,300,450)))</f>
        <v>450</v>
      </c>
      <c r="R58" s="4" t="n">
        <f aca="false">IF(MIN(AM58+IF(ISNUMBER(AN58),AN58,0),16000)&gt;=600,(MIN(AM58+IF(ISNUMBER(AN58),AN58,0),16000)-600)^0.8/10000*MIN(AM58+IF(ISNUMBER(AN58),AN58,0),16000),0)</f>
        <v>0</v>
      </c>
      <c r="S58" s="4" t="n">
        <f aca="false">IF(AB58=0,0,IF(AB58=1,30,IF(AB58=2,60,IF(AB58=3,120,IF(AB58=4,180,240)))))</f>
        <v>0</v>
      </c>
      <c r="T58" s="4" t="n">
        <f aca="false">IF(Y58&gt;0,Y58*600/MAX(1,Z58),0)</f>
        <v>0</v>
      </c>
      <c r="U58" s="4" t="n">
        <f aca="false">IF(AW58&gt;0,AW58*1000000*MAX(0,MIN(22,1+LOG10(AW58)))/100/12,0)</f>
        <v>0</v>
      </c>
      <c r="AA58" s="4" t="n">
        <f aca="true">IF(K58="W",IFERROR(IF(AND(AC58&gt;0,(TODAY()-AC58)&lt;36*365.25/12),2400/((TODAY()-AC58)/30.44/6+1),0),0)+IFERROR(IF(AND(AD58&gt;0,(TODAY()-AD58)&lt;36*365.25/12),2400/((TODAY()-AD58)/30.44/6+1),0),0)+IFERROR(IF(AND(AE58&gt;0,(TODAY()-AE58)&lt;36*365.25/12),2400/((TODAY()-AE58)/30.44/6+1),0),0)+IFERROR(IF(AND(AF58&gt;0,(TODAY()-AF58)&lt;36*365.25/12),2400/((TODAY()-AF58)/30.44/6+1),0),0)+IFERROR(IF(AND(AG58&gt;0,(TODAY()-AG58)&lt;36*365.25/12),2400/((TODAY()-AG58)/30.44/6+1),0),0),0)</f>
        <v>0</v>
      </c>
      <c r="AB58" s="4" t="n">
        <f aca="false">COUNTA(AC58:AG58)</f>
        <v>0</v>
      </c>
      <c r="AY58" s="1" t="n">
        <v>58</v>
      </c>
      <c r="BB58" s="1" t="n">
        <v>0</v>
      </c>
      <c r="BD58" s="1" t="n">
        <v>2400</v>
      </c>
      <c r="BR58" s="1" t="n">
        <v>27</v>
      </c>
      <c r="BS58" s="1" t="s">
        <v>243</v>
      </c>
      <c r="BT58" s="1" t="n">
        <v>450</v>
      </c>
      <c r="BU58" s="1" t="n">
        <v>12</v>
      </c>
      <c r="BY58" s="1" t="n">
        <v>660</v>
      </c>
      <c r="CE58" s="1" t="s">
        <v>243</v>
      </c>
    </row>
    <row r="59" customFormat="false" ht="15" hidden="false" customHeight="true" outlineLevel="0" collapsed="false">
      <c r="B59" s="1" t="n">
        <v>59</v>
      </c>
      <c r="L59" s="4" t="n">
        <f aca="true">YEAR(TODAY())-H59</f>
        <v>2026</v>
      </c>
      <c r="N59" s="4" t="n">
        <f aca="true">O59+IF(AT59=1,480,0)+AA59+IF(K59="M",IF(AH59&gt;0,IF((TODAY()-AH59)/30.44&lt;6,2400,IF((TODAY()-AH59)/30.44&lt;12,1200,0)),0),0)+IF(AP59&gt;0,AP59,0)-R59-T59-S59-U59</f>
        <v>450</v>
      </c>
      <c r="O59" s="4" t="n">
        <f aca="true">IF(X59=1,1200,IF(YEAR(TODAY())-H59&lt;18,0,IF(YEAR(TODAY())-H59&lt;65,300,450)))</f>
        <v>450</v>
      </c>
      <c r="R59" s="4" t="n">
        <f aca="false">IF(MIN(AM59+IF(ISNUMBER(AN59),AN59,0),16000)&gt;=600,(MIN(AM59+IF(ISNUMBER(AN59),AN59,0),16000)-600)^0.8/10000*MIN(AM59+IF(ISNUMBER(AN59),AN59,0),16000),0)</f>
        <v>0</v>
      </c>
      <c r="S59" s="4" t="n">
        <f aca="false">IF(AB59=0,0,IF(AB59=1,30,IF(AB59=2,60,IF(AB59=3,120,IF(AB59=4,180,240)))))</f>
        <v>0</v>
      </c>
      <c r="T59" s="4" t="n">
        <f aca="false">IF(Y59&gt;0,Y59*600/MAX(1,Z59),0)</f>
        <v>0</v>
      </c>
      <c r="U59" s="4" t="n">
        <f aca="false">IF(AW59&gt;0,AW59*1000000*MAX(0,MIN(22,1+LOG10(AW59)))/100/12,0)</f>
        <v>0</v>
      </c>
      <c r="AA59" s="4" t="n">
        <f aca="true">IF(K59="W",IFERROR(IF(AND(AC59&gt;0,(TODAY()-AC59)&lt;36*365.25/12),2400/((TODAY()-AC59)/30.44/6+1),0),0)+IFERROR(IF(AND(AD59&gt;0,(TODAY()-AD59)&lt;36*365.25/12),2400/((TODAY()-AD59)/30.44/6+1),0),0)+IFERROR(IF(AND(AE59&gt;0,(TODAY()-AE59)&lt;36*365.25/12),2400/((TODAY()-AE59)/30.44/6+1),0),0)+IFERROR(IF(AND(AF59&gt;0,(TODAY()-AF59)&lt;36*365.25/12),2400/((TODAY()-AF59)/30.44/6+1),0),0)+IFERROR(IF(AND(AG59&gt;0,(TODAY()-AG59)&lt;36*365.25/12),2400/((TODAY()-AG59)/30.44/6+1),0),0),0)</f>
        <v>0</v>
      </c>
      <c r="AB59" s="4" t="n">
        <f aca="false">COUNTA(AC59:AG59)</f>
        <v>0</v>
      </c>
      <c r="AY59" s="1" t="n">
        <v>59</v>
      </c>
      <c r="BB59" s="1" t="n">
        <v>1</v>
      </c>
      <c r="BR59" s="1" t="n">
        <v>28</v>
      </c>
      <c r="BS59" s="1" t="s">
        <v>244</v>
      </c>
      <c r="BT59" s="1" t="n">
        <v>1200</v>
      </c>
      <c r="BU59" s="1" t="n">
        <v>87</v>
      </c>
      <c r="CE59" s="1" t="s">
        <v>245</v>
      </c>
    </row>
    <row r="60" customFormat="false" ht="15" hidden="false" customHeight="true" outlineLevel="0" collapsed="false">
      <c r="B60" s="1" t="n">
        <v>60</v>
      </c>
      <c r="L60" s="4" t="n">
        <f aca="true">YEAR(TODAY())-H60</f>
        <v>2026</v>
      </c>
      <c r="N60" s="4" t="n">
        <f aca="true">O60+IF(AT60=1,480,0)+AA60+IF(K60="M",IF(AH60&gt;0,IF((TODAY()-AH60)/30.44&lt;6,2400,IF((TODAY()-AH60)/30.44&lt;12,1200,0)),0),0)+IF(AP60&gt;0,AP60,0)-R60-T60-S60-U60</f>
        <v>450</v>
      </c>
      <c r="O60" s="4" t="n">
        <f aca="true">IF(X60=1,1200,IF(YEAR(TODAY())-H60&lt;18,0,IF(YEAR(TODAY())-H60&lt;65,300,450)))</f>
        <v>450</v>
      </c>
      <c r="R60" s="4" t="n">
        <f aca="false">IF(MIN(AM60+IF(ISNUMBER(AN60),AN60,0),16000)&gt;=600,(MIN(AM60+IF(ISNUMBER(AN60),AN60,0),16000)-600)^0.8/10000*MIN(AM60+IF(ISNUMBER(AN60),AN60,0),16000),0)</f>
        <v>0</v>
      </c>
      <c r="S60" s="4" t="n">
        <f aca="false">IF(AB60=0,0,IF(AB60=1,30,IF(AB60=2,60,IF(AB60=3,120,IF(AB60=4,180,240)))))</f>
        <v>0</v>
      </c>
      <c r="T60" s="4" t="n">
        <f aca="false">IF(Y60&gt;0,Y60*600/MAX(1,Z60),0)</f>
        <v>0</v>
      </c>
      <c r="U60" s="4" t="n">
        <f aca="false">IF(AW60&gt;0,AW60*1000000*MAX(0,MIN(22,1+LOG10(AW60)))/100/12,0)</f>
        <v>0</v>
      </c>
      <c r="AA60" s="4" t="n">
        <f aca="true">IF(K60="W",IFERROR(IF(AND(AC60&gt;0,(TODAY()-AC60)&lt;36*365.25/12),2400/((TODAY()-AC60)/30.44/6+1),0),0)+IFERROR(IF(AND(AD60&gt;0,(TODAY()-AD60)&lt;36*365.25/12),2400/((TODAY()-AD60)/30.44/6+1),0),0)+IFERROR(IF(AND(AE60&gt;0,(TODAY()-AE60)&lt;36*365.25/12),2400/((TODAY()-AE60)/30.44/6+1),0),0)+IFERROR(IF(AND(AF60&gt;0,(TODAY()-AF60)&lt;36*365.25/12),2400/((TODAY()-AF60)/30.44/6+1),0),0)+IFERROR(IF(AND(AG60&gt;0,(TODAY()-AG60)&lt;36*365.25/12),2400/((TODAY()-AG60)/30.44/6+1),0),0),0)</f>
        <v>0</v>
      </c>
      <c r="AB60" s="4" t="n">
        <f aca="false">COUNTA(AC60:AG60)</f>
        <v>0</v>
      </c>
      <c r="AY60" s="1" t="n">
        <v>60</v>
      </c>
      <c r="BB60" s="1" t="n">
        <v>2</v>
      </c>
      <c r="BR60" s="1" t="n">
        <v>29</v>
      </c>
      <c r="BS60" s="1" t="s">
        <v>246</v>
      </c>
    </row>
    <row r="61" customFormat="false" ht="15" hidden="false" customHeight="true" outlineLevel="0" collapsed="false">
      <c r="B61" s="1" t="n">
        <v>61</v>
      </c>
      <c r="L61" s="4" t="n">
        <f aca="true">YEAR(TODAY())-H61</f>
        <v>2026</v>
      </c>
      <c r="N61" s="4" t="n">
        <f aca="true">O61+IF(AT61=1,480,0)+AA61+IF(K61="M",IF(AH61&gt;0,IF((TODAY()-AH61)/30.44&lt;6,2400,IF((TODAY()-AH61)/30.44&lt;12,1200,0)),0),0)+IF(AP61&gt;0,AP61,0)-R61-T61-S61-U61</f>
        <v>450</v>
      </c>
      <c r="O61" s="4" t="n">
        <f aca="true">IF(X61=1,1200,IF(YEAR(TODAY())-H61&lt;18,0,IF(YEAR(TODAY())-H61&lt;65,300,450)))</f>
        <v>450</v>
      </c>
      <c r="R61" s="4" t="n">
        <f aca="false">IF(MIN(AM61+IF(ISNUMBER(AN61),AN61,0),16000)&gt;=600,(MIN(AM61+IF(ISNUMBER(AN61),AN61,0),16000)-600)^0.8/10000*MIN(AM61+IF(ISNUMBER(AN61),AN61,0),16000),0)</f>
        <v>0</v>
      </c>
      <c r="S61" s="4" t="n">
        <f aca="false">IF(AB61=0,0,IF(AB61=1,30,IF(AB61=2,60,IF(AB61=3,120,IF(AB61=4,180,240)))))</f>
        <v>0</v>
      </c>
      <c r="T61" s="4" t="n">
        <f aca="false">IF(Y61&gt;0,Y61*600/MAX(1,Z61),0)</f>
        <v>0</v>
      </c>
      <c r="U61" s="4" t="n">
        <f aca="false">IF(AW61&gt;0,AW61*1000000*MAX(0,MIN(22,1+LOG10(AW61)))/100/12,0)</f>
        <v>0</v>
      </c>
      <c r="AA61" s="4" t="n">
        <f aca="true">IF(K61="W",IFERROR(IF(AND(AC61&gt;0,(TODAY()-AC61)&lt;36*365.25/12),2400/((TODAY()-AC61)/30.44/6+1),0),0)+IFERROR(IF(AND(AD61&gt;0,(TODAY()-AD61)&lt;36*365.25/12),2400/((TODAY()-AD61)/30.44/6+1),0),0)+IFERROR(IF(AND(AE61&gt;0,(TODAY()-AE61)&lt;36*365.25/12),2400/((TODAY()-AE61)/30.44/6+1),0),0)+IFERROR(IF(AND(AF61&gt;0,(TODAY()-AF61)&lt;36*365.25/12),2400/((TODAY()-AF61)/30.44/6+1),0),0)+IFERROR(IF(AND(AG61&gt;0,(TODAY()-AG61)&lt;36*365.25/12),2400/((TODAY()-AG61)/30.44/6+1),0),0),0)</f>
        <v>0</v>
      </c>
      <c r="AB61" s="4" t="n">
        <f aca="false">COUNTA(AC61:AG61)</f>
        <v>0</v>
      </c>
      <c r="AY61" s="1" t="n">
        <v>61</v>
      </c>
      <c r="BB61" s="1" t="n">
        <v>3</v>
      </c>
      <c r="BR61" s="1" t="n">
        <v>30</v>
      </c>
      <c r="BS61" s="1" t="s">
        <v>247</v>
      </c>
      <c r="CG61" s="1" t="s">
        <v>248</v>
      </c>
      <c r="CH61" s="1" t="s">
        <v>130</v>
      </c>
      <c r="CI61" s="1" t="s">
        <v>131</v>
      </c>
      <c r="CJ61" s="1" t="s">
        <v>249</v>
      </c>
      <c r="CK61" s="1" t="s">
        <v>250</v>
      </c>
    </row>
    <row r="62" customFormat="false" ht="15" hidden="false" customHeight="true" outlineLevel="0" collapsed="false">
      <c r="B62" s="1" t="n">
        <v>62</v>
      </c>
      <c r="L62" s="4" t="n">
        <f aca="true">YEAR(TODAY())-H62</f>
        <v>2026</v>
      </c>
      <c r="N62" s="4" t="n">
        <f aca="true">O62+IF(AT62=1,480,0)+AA62+IF(K62="M",IF(AH62&gt;0,IF((TODAY()-AH62)/30.44&lt;6,2400,IF((TODAY()-AH62)/30.44&lt;12,1200,0)),0),0)+IF(AP62&gt;0,AP62,0)-R62-T62-S62-U62</f>
        <v>450</v>
      </c>
      <c r="O62" s="4" t="n">
        <f aca="true">IF(X62=1,1200,IF(YEAR(TODAY())-H62&lt;18,0,IF(YEAR(TODAY())-H62&lt;65,300,450)))</f>
        <v>450</v>
      </c>
      <c r="R62" s="4" t="n">
        <f aca="false">IF(MIN(AM62+IF(ISNUMBER(AN62),AN62,0),16000)&gt;=600,(MIN(AM62+IF(ISNUMBER(AN62),AN62,0),16000)-600)^0.8/10000*MIN(AM62+IF(ISNUMBER(AN62),AN62,0),16000),0)</f>
        <v>0</v>
      </c>
      <c r="S62" s="4" t="n">
        <f aca="false">IF(AB62=0,0,IF(AB62=1,30,IF(AB62=2,60,IF(AB62=3,120,IF(AB62=4,180,240)))))</f>
        <v>0</v>
      </c>
      <c r="T62" s="4" t="n">
        <f aca="false">IF(Y62&gt;0,Y62*600/MAX(1,Z62),0)</f>
        <v>0</v>
      </c>
      <c r="U62" s="4" t="n">
        <f aca="false">IF(AW62&gt;0,AW62*1000000*MAX(0,MIN(22,1+LOG10(AW62)))/100/12,0)</f>
        <v>0</v>
      </c>
      <c r="AA62" s="4" t="n">
        <f aca="true">IF(K62="W",IFERROR(IF(AND(AC62&gt;0,(TODAY()-AC62)&lt;36*365.25/12),2400/((TODAY()-AC62)/30.44/6+1),0),0)+IFERROR(IF(AND(AD62&gt;0,(TODAY()-AD62)&lt;36*365.25/12),2400/((TODAY()-AD62)/30.44/6+1),0),0)+IFERROR(IF(AND(AE62&gt;0,(TODAY()-AE62)&lt;36*365.25/12),2400/((TODAY()-AE62)/30.44/6+1),0),0)+IFERROR(IF(AND(AF62&gt;0,(TODAY()-AF62)&lt;36*365.25/12),2400/((TODAY()-AF62)/30.44/6+1),0),0)+IFERROR(IF(AND(AG62&gt;0,(TODAY()-AG62)&lt;36*365.25/12),2400/((TODAY()-AG62)/30.44/6+1),0),0),0)</f>
        <v>0</v>
      </c>
      <c r="AB62" s="4" t="n">
        <f aca="false">COUNTA(AC62:AG62)</f>
        <v>0</v>
      </c>
      <c r="AY62" s="1" t="n">
        <v>62</v>
      </c>
      <c r="BB62" s="1" t="n">
        <v>4</v>
      </c>
      <c r="BR62" s="1" t="n">
        <v>31</v>
      </c>
      <c r="BS62" s="1" t="s">
        <v>251</v>
      </c>
      <c r="CG62" s="1" t="s">
        <v>141</v>
      </c>
      <c r="CH62" s="1" t="n">
        <v>7000</v>
      </c>
      <c r="CI62" s="1" t="n">
        <v>0.7</v>
      </c>
      <c r="CJ62" s="1" t="n">
        <v>1000</v>
      </c>
      <c r="CK62" s="1" t="n">
        <v>1200</v>
      </c>
    </row>
    <row r="63" customFormat="false" ht="15" hidden="false" customHeight="true" outlineLevel="0" collapsed="false">
      <c r="B63" s="1" t="n">
        <v>63</v>
      </c>
      <c r="L63" s="4" t="n">
        <f aca="true">YEAR(TODAY())-H63</f>
        <v>2026</v>
      </c>
      <c r="N63" s="4" t="n">
        <f aca="true">O63+IF(AT63=1,480,0)+AA63+IF(K63="M",IF(AH63&gt;0,IF((TODAY()-AH63)/30.44&lt;6,2400,IF((TODAY()-AH63)/30.44&lt;12,1200,0)),0),0)+IF(AP63&gt;0,AP63,0)-R63-T63-S63-U63</f>
        <v>450</v>
      </c>
      <c r="O63" s="4" t="n">
        <f aca="true">IF(X63=1,1200,IF(YEAR(TODAY())-H63&lt;18,0,IF(YEAR(TODAY())-H63&lt;65,300,450)))</f>
        <v>450</v>
      </c>
      <c r="R63" s="4" t="n">
        <f aca="false">IF(MIN(AM63+IF(ISNUMBER(AN63),AN63,0),16000)&gt;=600,(MIN(AM63+IF(ISNUMBER(AN63),AN63,0),16000)-600)^0.8/10000*MIN(AM63+IF(ISNUMBER(AN63),AN63,0),16000),0)</f>
        <v>0</v>
      </c>
      <c r="S63" s="4" t="n">
        <f aca="false">IF(AB63=0,0,IF(AB63=1,30,IF(AB63=2,60,IF(AB63=3,120,IF(AB63=4,180,240)))))</f>
        <v>0</v>
      </c>
      <c r="T63" s="4" t="n">
        <f aca="false">IF(Y63&gt;0,Y63*600/MAX(1,Z63),0)</f>
        <v>0</v>
      </c>
      <c r="U63" s="4" t="n">
        <f aca="false">IF(AW63&gt;0,AW63*1000000*MAX(0,MIN(22,1+LOG10(AW63)))/100/12,0)</f>
        <v>0</v>
      </c>
      <c r="AA63" s="4" t="n">
        <f aca="true">IF(K63="W",IFERROR(IF(AND(AC63&gt;0,(TODAY()-AC63)&lt;36*365.25/12),2400/((TODAY()-AC63)/30.44/6+1),0),0)+IFERROR(IF(AND(AD63&gt;0,(TODAY()-AD63)&lt;36*365.25/12),2400/((TODAY()-AD63)/30.44/6+1),0),0)+IFERROR(IF(AND(AE63&gt;0,(TODAY()-AE63)&lt;36*365.25/12),2400/((TODAY()-AE63)/30.44/6+1),0),0)+IFERROR(IF(AND(AF63&gt;0,(TODAY()-AF63)&lt;36*365.25/12),2400/((TODAY()-AF63)/30.44/6+1),0),0)+IFERROR(IF(AND(AG63&gt;0,(TODAY()-AG63)&lt;36*365.25/12),2400/((TODAY()-AG63)/30.44/6+1),0),0),0)</f>
        <v>0</v>
      </c>
      <c r="AB63" s="4" t="n">
        <f aca="false">COUNTA(AC63:AG63)</f>
        <v>0</v>
      </c>
      <c r="AY63" s="1" t="n">
        <v>63</v>
      </c>
      <c r="BB63" s="1" t="n">
        <v>5</v>
      </c>
      <c r="BR63" s="1" t="n">
        <v>32</v>
      </c>
      <c r="BS63" s="1" t="s">
        <v>252</v>
      </c>
      <c r="BT63" s="1" t="s">
        <v>253</v>
      </c>
      <c r="CG63" s="1" t="s">
        <v>148</v>
      </c>
      <c r="CH63" s="1" t="s">
        <v>149</v>
      </c>
      <c r="CI63" s="1" t="s">
        <v>150</v>
      </c>
      <c r="CJ63" s="1" t="s">
        <v>254</v>
      </c>
      <c r="CK63" s="1" t="s">
        <v>255</v>
      </c>
    </row>
    <row r="64" customFormat="false" ht="15" hidden="false" customHeight="true" outlineLevel="0" collapsed="false">
      <c r="B64" s="1" t="n">
        <v>64</v>
      </c>
      <c r="L64" s="4" t="n">
        <f aca="true">YEAR(TODAY())-H64</f>
        <v>2026</v>
      </c>
      <c r="N64" s="4" t="n">
        <f aca="true">O64+IF(AT64=1,480,0)+AA64+IF(K64="M",IF(AH64&gt;0,IF((TODAY()-AH64)/30.44&lt;6,2400,IF((TODAY()-AH64)/30.44&lt;12,1200,0)),0),0)+IF(AP64&gt;0,AP64,0)-R64-T64-S64-U64</f>
        <v>450</v>
      </c>
      <c r="O64" s="4" t="n">
        <f aca="true">IF(X64=1,1200,IF(YEAR(TODAY())-H64&lt;18,0,IF(YEAR(TODAY())-H64&lt;65,300,450)))</f>
        <v>450</v>
      </c>
      <c r="R64" s="4" t="n">
        <f aca="false">IF(MIN(AM64+IF(ISNUMBER(AN64),AN64,0),16000)&gt;=600,(MIN(AM64+IF(ISNUMBER(AN64),AN64,0),16000)-600)^0.8/10000*MIN(AM64+IF(ISNUMBER(AN64),AN64,0),16000),0)</f>
        <v>0</v>
      </c>
      <c r="S64" s="4" t="n">
        <f aca="false">IF(AB64=0,0,IF(AB64=1,30,IF(AB64=2,60,IF(AB64=3,120,IF(AB64=4,180,240)))))</f>
        <v>0</v>
      </c>
      <c r="T64" s="4" t="n">
        <f aca="false">IF(Y64&gt;0,Y64*600/MAX(1,Z64),0)</f>
        <v>0</v>
      </c>
      <c r="U64" s="4" t="n">
        <f aca="false">IF(AW64&gt;0,AW64*1000000*MAX(0,MIN(22,1+LOG10(AW64)))/100/12,0)</f>
        <v>0</v>
      </c>
      <c r="AA64" s="4" t="n">
        <f aca="true">IF(K64="W",IFERROR(IF(AND(AC64&gt;0,(TODAY()-AC64)&lt;36*365.25/12),2400/((TODAY()-AC64)/30.44/6+1),0),0)+IFERROR(IF(AND(AD64&gt;0,(TODAY()-AD64)&lt;36*365.25/12),2400/((TODAY()-AD64)/30.44/6+1),0),0)+IFERROR(IF(AND(AE64&gt;0,(TODAY()-AE64)&lt;36*365.25/12),2400/((TODAY()-AE64)/30.44/6+1),0),0)+IFERROR(IF(AND(AF64&gt;0,(TODAY()-AF64)&lt;36*365.25/12),2400/((TODAY()-AF64)/30.44/6+1),0),0)+IFERROR(IF(AND(AG64&gt;0,(TODAY()-AG64)&lt;36*365.25/12),2400/((TODAY()-AG64)/30.44/6+1),0),0),0)</f>
        <v>0</v>
      </c>
      <c r="AB64" s="4" t="n">
        <f aca="false">COUNTA(AC64:AG64)</f>
        <v>0</v>
      </c>
      <c r="AY64" s="1" t="n">
        <v>64</v>
      </c>
      <c r="BB64" s="1" t="n">
        <v>6</v>
      </c>
      <c r="BE64" s="1" t="s">
        <v>256</v>
      </c>
      <c r="BF64" s="1" t="s">
        <v>257</v>
      </c>
      <c r="BG64" s="1" t="s">
        <v>122</v>
      </c>
      <c r="BH64" s="1" t="s">
        <v>258</v>
      </c>
      <c r="BR64" s="1" t="n">
        <v>33</v>
      </c>
      <c r="BS64" s="1" t="s">
        <v>259</v>
      </c>
      <c r="BT64" s="1" t="n">
        <v>400</v>
      </c>
      <c r="BU64" s="1" t="n">
        <v>18</v>
      </c>
      <c r="BY64" s="1" t="n">
        <v>660</v>
      </c>
      <c r="BZ64" s="1" t="s">
        <v>260</v>
      </c>
      <c r="CG64" s="1" t="n">
        <v>1000</v>
      </c>
    </row>
    <row r="65" customFormat="false" ht="15" hidden="false" customHeight="true" outlineLevel="0" collapsed="false">
      <c r="B65" s="1" t="n">
        <v>65</v>
      </c>
      <c r="L65" s="4" t="n">
        <f aca="true">YEAR(TODAY())-H65</f>
        <v>2026</v>
      </c>
      <c r="N65" s="4" t="n">
        <f aca="true">O65+IF(AT65=1,480,0)+AA65+IF(K65="M",IF(AH65&gt;0,IF((TODAY()-AH65)/30.44&lt;6,2400,IF((TODAY()-AH65)/30.44&lt;12,1200,0)),0),0)+IF(AP65&gt;0,AP65,0)-R65-T65-S65-U65</f>
        <v>450</v>
      </c>
      <c r="O65" s="4" t="n">
        <f aca="true">IF(X65=1,1200,IF(YEAR(TODAY())-H65&lt;18,0,IF(YEAR(TODAY())-H65&lt;65,300,450)))</f>
        <v>450</v>
      </c>
      <c r="R65" s="4" t="n">
        <f aca="false">IF(MIN(AM65+IF(ISNUMBER(AN65),AN65,0),16000)&gt;=600,(MIN(AM65+IF(ISNUMBER(AN65),AN65,0),16000)-600)^0.8/10000*MIN(AM65+IF(ISNUMBER(AN65),AN65,0),16000),0)</f>
        <v>0</v>
      </c>
      <c r="S65" s="4" t="n">
        <f aca="false">IF(AB65=0,0,IF(AB65=1,30,IF(AB65=2,60,IF(AB65=3,120,IF(AB65=4,180,240)))))</f>
        <v>0</v>
      </c>
      <c r="T65" s="4" t="n">
        <f aca="false">IF(Y65&gt;0,Y65*600/MAX(1,Z65),0)</f>
        <v>0</v>
      </c>
      <c r="U65" s="4" t="n">
        <f aca="false">IF(AW65&gt;0,AW65*1000000*MAX(0,MIN(22,1+LOG10(AW65)))/100/12,0)</f>
        <v>0</v>
      </c>
      <c r="AA65" s="4" t="n">
        <f aca="true">IF(K65="W",IFERROR(IF(AND(AC65&gt;0,(TODAY()-AC65)&lt;36*365.25/12),2400/((TODAY()-AC65)/30.44/6+1),0),0)+IFERROR(IF(AND(AD65&gt;0,(TODAY()-AD65)&lt;36*365.25/12),2400/((TODAY()-AD65)/30.44/6+1),0),0)+IFERROR(IF(AND(AE65&gt;0,(TODAY()-AE65)&lt;36*365.25/12),2400/((TODAY()-AE65)/30.44/6+1),0),0)+IFERROR(IF(AND(AF65&gt;0,(TODAY()-AF65)&lt;36*365.25/12),2400/((TODAY()-AF65)/30.44/6+1),0),0)+IFERROR(IF(AND(AG65&gt;0,(TODAY()-AG65)&lt;36*365.25/12),2400/((TODAY()-AG65)/30.44/6+1),0),0),0)</f>
        <v>0</v>
      </c>
      <c r="AB65" s="4" t="n">
        <f aca="false">COUNTA(AC65:AG65)</f>
        <v>0</v>
      </c>
      <c r="AY65" s="1" t="n">
        <v>65</v>
      </c>
      <c r="BB65" s="1" t="n">
        <v>7</v>
      </c>
      <c r="BE65" s="1" t="n">
        <v>15</v>
      </c>
      <c r="BH65" s="1" t="n">
        <v>360</v>
      </c>
      <c r="BR65" s="1" t="n">
        <v>34</v>
      </c>
      <c r="BS65" s="1" t="s">
        <v>261</v>
      </c>
    </row>
    <row r="66" customFormat="false" ht="15" hidden="false" customHeight="true" outlineLevel="0" collapsed="false">
      <c r="B66" s="1" t="n">
        <v>66</v>
      </c>
      <c r="L66" s="4" t="n">
        <f aca="true">YEAR(TODAY())-H66</f>
        <v>2026</v>
      </c>
      <c r="N66" s="4" t="n">
        <f aca="true">O66+IF(AT66=1,480,0)+AA66+IF(K66="M",IF(AH66&gt;0,IF((TODAY()-AH66)/30.44&lt;6,2400,IF((TODAY()-AH66)/30.44&lt;12,1200,0)),0),0)+IF(AP66&gt;0,AP66,0)-R66-T66-S66-U66</f>
        <v>450</v>
      </c>
      <c r="O66" s="4" t="n">
        <f aca="true">IF(X66=1,1200,IF(YEAR(TODAY())-H66&lt;18,0,IF(YEAR(TODAY())-H66&lt;65,300,450)))</f>
        <v>450</v>
      </c>
      <c r="R66" s="4" t="n">
        <f aca="false">IF(MIN(AM66+IF(ISNUMBER(AN66),AN66,0),16000)&gt;=600,(MIN(AM66+IF(ISNUMBER(AN66),AN66,0),16000)-600)^0.8/10000*MIN(AM66+IF(ISNUMBER(AN66),AN66,0),16000),0)</f>
        <v>0</v>
      </c>
      <c r="S66" s="4" t="n">
        <f aca="false">IF(AB66=0,0,IF(AB66=1,30,IF(AB66=2,60,IF(AB66=3,120,IF(AB66=4,180,240)))))</f>
        <v>0</v>
      </c>
      <c r="T66" s="4" t="n">
        <f aca="false">IF(Y66&gt;0,Y66*600/MAX(1,Z66),0)</f>
        <v>0</v>
      </c>
      <c r="U66" s="4" t="n">
        <f aca="false">IF(AW66&gt;0,AW66*1000000*MAX(0,MIN(22,1+LOG10(AW66)))/100/12,0)</f>
        <v>0</v>
      </c>
      <c r="AA66" s="4" t="n">
        <f aca="true">IF(K66="W",IFERROR(IF(AND(AC66&gt;0,(TODAY()-AC66)&lt;36*365.25/12),2400/((TODAY()-AC66)/30.44/6+1),0),0)+IFERROR(IF(AND(AD66&gt;0,(TODAY()-AD66)&lt;36*365.25/12),2400/((TODAY()-AD66)/30.44/6+1),0),0)+IFERROR(IF(AND(AE66&gt;0,(TODAY()-AE66)&lt;36*365.25/12),2400/((TODAY()-AE66)/30.44/6+1),0),0)+IFERROR(IF(AND(AF66&gt;0,(TODAY()-AF66)&lt;36*365.25/12),2400/((TODAY()-AF66)/30.44/6+1),0),0)+IFERROR(IF(AND(AG66&gt;0,(TODAY()-AG66)&lt;36*365.25/12),2400/((TODAY()-AG66)/30.44/6+1),0),0),0)</f>
        <v>0</v>
      </c>
      <c r="AB66" s="4" t="n">
        <f aca="false">COUNTA(AC66:AG66)</f>
        <v>0</v>
      </c>
      <c r="AY66" s="1" t="n">
        <v>66</v>
      </c>
      <c r="BB66" s="1" t="n">
        <v>8</v>
      </c>
      <c r="BH66" s="1" t="s">
        <v>262</v>
      </c>
      <c r="BR66" s="1" t="n">
        <v>35</v>
      </c>
      <c r="BS66" s="1" t="s">
        <v>263</v>
      </c>
    </row>
    <row r="67" customFormat="false" ht="15" hidden="false" customHeight="true" outlineLevel="0" collapsed="false">
      <c r="B67" s="1" t="n">
        <v>67</v>
      </c>
      <c r="L67" s="4" t="n">
        <f aca="true">YEAR(TODAY())-H67</f>
        <v>2026</v>
      </c>
      <c r="N67" s="4" t="n">
        <f aca="true">O67+IF(AT67=1,480,0)+AA67+IF(K67="M",IF(AH67&gt;0,IF((TODAY()-AH67)/30.44&lt;6,2400,IF((TODAY()-AH67)/30.44&lt;12,1200,0)),0),0)+IF(AP67&gt;0,AP67,0)-R67-T67-S67-U67</f>
        <v>450</v>
      </c>
      <c r="O67" s="4" t="n">
        <f aca="true">IF(X67=1,1200,IF(YEAR(TODAY())-H67&lt;18,0,IF(YEAR(TODAY())-H67&lt;65,300,450)))</f>
        <v>450</v>
      </c>
      <c r="R67" s="4" t="n">
        <f aca="false">IF(MIN(AM67+IF(ISNUMBER(AN67),AN67,0),16000)&gt;=600,(MIN(AM67+IF(ISNUMBER(AN67),AN67,0),16000)-600)^0.8/10000*MIN(AM67+IF(ISNUMBER(AN67),AN67,0),16000),0)</f>
        <v>0</v>
      </c>
      <c r="S67" s="4" t="n">
        <f aca="false">IF(AB67=0,0,IF(AB67=1,30,IF(AB67=2,60,IF(AB67=3,120,IF(AB67=4,180,240)))))</f>
        <v>0</v>
      </c>
      <c r="T67" s="4" t="n">
        <f aca="false">IF(Y67&gt;0,Y67*600/MAX(1,Z67),0)</f>
        <v>0</v>
      </c>
      <c r="U67" s="4" t="n">
        <f aca="false">IF(AW67&gt;0,AW67*1000000*MAX(0,MIN(22,1+LOG10(AW67)))/100/12,0)</f>
        <v>0</v>
      </c>
      <c r="AA67" s="4" t="n">
        <f aca="true">IF(K67="W",IFERROR(IF(AND(AC67&gt;0,(TODAY()-AC67)&lt;36*365.25/12),2400/((TODAY()-AC67)/30.44/6+1),0),0)+IFERROR(IF(AND(AD67&gt;0,(TODAY()-AD67)&lt;36*365.25/12),2400/((TODAY()-AD67)/30.44/6+1),0),0)+IFERROR(IF(AND(AE67&gt;0,(TODAY()-AE67)&lt;36*365.25/12),2400/((TODAY()-AE67)/30.44/6+1),0),0)+IFERROR(IF(AND(AF67&gt;0,(TODAY()-AF67)&lt;36*365.25/12),2400/((TODAY()-AF67)/30.44/6+1),0),0)+IFERROR(IF(AND(AG67&gt;0,(TODAY()-AG67)&lt;36*365.25/12),2400/((TODAY()-AG67)/30.44/6+1),0),0),0)</f>
        <v>0</v>
      </c>
      <c r="AB67" s="4" t="n">
        <f aca="false">COUNTA(AC67:AG67)</f>
        <v>0</v>
      </c>
      <c r="AY67" s="1" t="n">
        <v>67</v>
      </c>
      <c r="BB67" s="1" t="n">
        <v>9</v>
      </c>
      <c r="BH67" s="1" t="n">
        <v>120</v>
      </c>
      <c r="BR67" s="1" t="n">
        <v>36</v>
      </c>
      <c r="BS67" s="1" t="s">
        <v>264</v>
      </c>
    </row>
    <row r="68" customFormat="false" ht="15" hidden="false" customHeight="true" outlineLevel="0" collapsed="false">
      <c r="B68" s="1" t="n">
        <v>68</v>
      </c>
      <c r="L68" s="4" t="n">
        <f aca="true">YEAR(TODAY())-H68</f>
        <v>2026</v>
      </c>
      <c r="N68" s="4" t="n">
        <f aca="true">O68+IF(AT68=1,480,0)+AA68+IF(K68="M",IF(AH68&gt;0,IF((TODAY()-AH68)/30.44&lt;6,2400,IF((TODAY()-AH68)/30.44&lt;12,1200,0)),0),0)+IF(AP68&gt;0,AP68,0)-R68-T68-S68-U68</f>
        <v>450</v>
      </c>
      <c r="O68" s="4" t="n">
        <f aca="true">IF(X68=1,1200,IF(YEAR(TODAY())-H68&lt;18,0,IF(YEAR(TODAY())-H68&lt;65,300,450)))</f>
        <v>450</v>
      </c>
      <c r="R68" s="4" t="n">
        <f aca="false">IF(MIN(AM68+IF(ISNUMBER(AN68),AN68,0),16000)&gt;=600,(MIN(AM68+IF(ISNUMBER(AN68),AN68,0),16000)-600)^0.8/10000*MIN(AM68+IF(ISNUMBER(AN68),AN68,0),16000),0)</f>
        <v>0</v>
      </c>
      <c r="S68" s="4" t="n">
        <f aca="false">IF(AB68=0,0,IF(AB68=1,30,IF(AB68=2,60,IF(AB68=3,120,IF(AB68=4,180,240)))))</f>
        <v>0</v>
      </c>
      <c r="T68" s="4" t="n">
        <f aca="false">IF(Y68&gt;0,Y68*600/MAX(1,Z68),0)</f>
        <v>0</v>
      </c>
      <c r="U68" s="4" t="n">
        <f aca="false">IF(AW68&gt;0,AW68*1000000*MAX(0,MIN(22,1+LOG10(AW68)))/100/12,0)</f>
        <v>0</v>
      </c>
      <c r="AA68" s="4" t="n">
        <f aca="true">IF(K68="W",IFERROR(IF(AND(AC68&gt;0,(TODAY()-AC68)&lt;36*365.25/12),2400/((TODAY()-AC68)/30.44/6+1),0),0)+IFERROR(IF(AND(AD68&gt;0,(TODAY()-AD68)&lt;36*365.25/12),2400/((TODAY()-AD68)/30.44/6+1),0),0)+IFERROR(IF(AND(AE68&gt;0,(TODAY()-AE68)&lt;36*365.25/12),2400/((TODAY()-AE68)/30.44/6+1),0),0)+IFERROR(IF(AND(AF68&gt;0,(TODAY()-AF68)&lt;36*365.25/12),2400/((TODAY()-AF68)/30.44/6+1),0),0)+IFERROR(IF(AND(AG68&gt;0,(TODAY()-AG68)&lt;36*365.25/12),2400/((TODAY()-AG68)/30.44/6+1),0),0),0)</f>
        <v>0</v>
      </c>
      <c r="AB68" s="4" t="n">
        <f aca="false">COUNTA(AC68:AG68)</f>
        <v>0</v>
      </c>
      <c r="AY68" s="1" t="n">
        <v>68</v>
      </c>
      <c r="BB68" s="1" t="n">
        <v>10</v>
      </c>
      <c r="BR68" s="1" t="n">
        <v>37</v>
      </c>
      <c r="BS68" s="1" t="s">
        <v>265</v>
      </c>
      <c r="BU68" s="1" t="n">
        <v>180</v>
      </c>
    </row>
    <row r="69" customFormat="false" ht="15" hidden="false" customHeight="true" outlineLevel="0" collapsed="false">
      <c r="B69" s="1" t="n">
        <v>69</v>
      </c>
      <c r="L69" s="4" t="n">
        <f aca="true">YEAR(TODAY())-H69</f>
        <v>2026</v>
      </c>
      <c r="N69" s="4" t="n">
        <f aca="true">O69+IF(AT69=1,480,0)+AA69+IF(K69="M",IF(AH69&gt;0,IF((TODAY()-AH69)/30.44&lt;6,2400,IF((TODAY()-AH69)/30.44&lt;12,1200,0)),0),0)+IF(AP69&gt;0,AP69,0)-R69-T69-S69-U69</f>
        <v>450</v>
      </c>
      <c r="O69" s="4" t="n">
        <f aca="true">IF(X69=1,1200,IF(YEAR(TODAY())-H69&lt;18,0,IF(YEAR(TODAY())-H69&lt;65,300,450)))</f>
        <v>450</v>
      </c>
      <c r="R69" s="4" t="n">
        <f aca="false">IF(MIN(AM69+IF(ISNUMBER(AN69),AN69,0),16000)&gt;=600,(MIN(AM69+IF(ISNUMBER(AN69),AN69,0),16000)-600)^0.8/10000*MIN(AM69+IF(ISNUMBER(AN69),AN69,0),16000),0)</f>
        <v>0</v>
      </c>
      <c r="S69" s="4" t="n">
        <f aca="false">IF(AB69=0,0,IF(AB69=1,30,IF(AB69=2,60,IF(AB69=3,120,IF(AB69=4,180,240)))))</f>
        <v>0</v>
      </c>
      <c r="T69" s="4" t="n">
        <f aca="false">IF(Y69&gt;0,Y69*600/MAX(1,Z69),0)</f>
        <v>0</v>
      </c>
      <c r="U69" s="4" t="n">
        <f aca="false">IF(AW69&gt;0,AW69*1000000*MAX(0,MIN(22,1+LOG10(AW69)))/100/12,0)</f>
        <v>0</v>
      </c>
      <c r="AA69" s="4" t="n">
        <f aca="true">IF(K69="W",IFERROR(IF(AND(AC69&gt;0,(TODAY()-AC69)&lt;36*365.25/12),2400/((TODAY()-AC69)/30.44/6+1),0),0)+IFERROR(IF(AND(AD69&gt;0,(TODAY()-AD69)&lt;36*365.25/12),2400/((TODAY()-AD69)/30.44/6+1),0),0)+IFERROR(IF(AND(AE69&gt;0,(TODAY()-AE69)&lt;36*365.25/12),2400/((TODAY()-AE69)/30.44/6+1),0),0)+IFERROR(IF(AND(AF69&gt;0,(TODAY()-AF69)&lt;36*365.25/12),2400/((TODAY()-AF69)/30.44/6+1),0),0)+IFERROR(IF(AND(AG69&gt;0,(TODAY()-AG69)&lt;36*365.25/12),2400/((TODAY()-AG69)/30.44/6+1),0),0),0)</f>
        <v>0</v>
      </c>
      <c r="AB69" s="4" t="n">
        <f aca="false">COUNTA(AC69:AG69)</f>
        <v>0</v>
      </c>
      <c r="AY69" s="1" t="n">
        <v>69</v>
      </c>
      <c r="BB69" s="1" t="n">
        <v>11</v>
      </c>
      <c r="BR69" s="1" t="n">
        <v>38</v>
      </c>
    </row>
    <row r="70" customFormat="false" ht="15" hidden="false" customHeight="true" outlineLevel="0" collapsed="false">
      <c r="B70" s="1" t="n">
        <v>70</v>
      </c>
      <c r="L70" s="4" t="n">
        <f aca="true">YEAR(TODAY())-H70</f>
        <v>2026</v>
      </c>
      <c r="N70" s="4" t="n">
        <f aca="true">O70+IF(AT70=1,480,0)+AA70+IF(K70="M",IF(AH70&gt;0,IF((TODAY()-AH70)/30.44&lt;6,2400,IF((TODAY()-AH70)/30.44&lt;12,1200,0)),0),0)+IF(AP70&gt;0,AP70,0)-R70-T70-S70-U70</f>
        <v>450</v>
      </c>
      <c r="O70" s="4" t="n">
        <f aca="true">IF(X70=1,1200,IF(YEAR(TODAY())-H70&lt;18,0,IF(YEAR(TODAY())-H70&lt;65,300,450)))</f>
        <v>450</v>
      </c>
      <c r="R70" s="4" t="n">
        <f aca="false">IF(MIN(AM70+IF(ISNUMBER(AN70),AN70,0),16000)&gt;=600,(MIN(AM70+IF(ISNUMBER(AN70),AN70,0),16000)-600)^0.8/10000*MIN(AM70+IF(ISNUMBER(AN70),AN70,0),16000),0)</f>
        <v>0</v>
      </c>
      <c r="S70" s="4" t="n">
        <f aca="false">IF(AB70=0,0,IF(AB70=1,30,IF(AB70=2,60,IF(AB70=3,120,IF(AB70=4,180,240)))))</f>
        <v>0</v>
      </c>
      <c r="T70" s="4" t="n">
        <f aca="false">IF(Y70&gt;0,Y70*600/MAX(1,Z70),0)</f>
        <v>0</v>
      </c>
      <c r="U70" s="4" t="n">
        <f aca="false">IF(AW70&gt;0,AW70*1000000*MAX(0,MIN(22,1+LOG10(AW70)))/100/12,0)</f>
        <v>0</v>
      </c>
      <c r="AA70" s="4" t="n">
        <f aca="true">IF(K70="W",IFERROR(IF(AND(AC70&gt;0,(TODAY()-AC70)&lt;36*365.25/12),2400/((TODAY()-AC70)/30.44/6+1),0),0)+IFERROR(IF(AND(AD70&gt;0,(TODAY()-AD70)&lt;36*365.25/12),2400/((TODAY()-AD70)/30.44/6+1),0),0)+IFERROR(IF(AND(AE70&gt;0,(TODAY()-AE70)&lt;36*365.25/12),2400/((TODAY()-AE70)/30.44/6+1),0),0)+IFERROR(IF(AND(AF70&gt;0,(TODAY()-AF70)&lt;36*365.25/12),2400/((TODAY()-AF70)/30.44/6+1),0),0)+IFERROR(IF(AND(AG70&gt;0,(TODAY()-AG70)&lt;36*365.25/12),2400/((TODAY()-AG70)/30.44/6+1),0),0),0)</f>
        <v>0</v>
      </c>
      <c r="AB70" s="4" t="n">
        <f aca="false">COUNTA(AC70:AG70)</f>
        <v>0</v>
      </c>
      <c r="AY70" s="1" t="n">
        <v>70</v>
      </c>
      <c r="BB70" s="1" t="n">
        <v>12</v>
      </c>
    </row>
    <row r="71" customFormat="false" ht="15" hidden="false" customHeight="true" outlineLevel="0" collapsed="false">
      <c r="B71" s="1" t="n">
        <v>71</v>
      </c>
      <c r="L71" s="4" t="n">
        <f aca="true">YEAR(TODAY())-H71</f>
        <v>2026</v>
      </c>
      <c r="N71" s="4" t="n">
        <f aca="true">O71+IF(AT71=1,480,0)+AA71+IF(K71="M",IF(AH71&gt;0,IF((TODAY()-AH71)/30.44&lt;6,2400,IF((TODAY()-AH71)/30.44&lt;12,1200,0)),0),0)+IF(AP71&gt;0,AP71,0)-R71-T71-S71-U71</f>
        <v>450</v>
      </c>
      <c r="O71" s="4" t="n">
        <f aca="true">IF(X71=1,1200,IF(YEAR(TODAY())-H71&lt;18,0,IF(YEAR(TODAY())-H71&lt;65,300,450)))</f>
        <v>450</v>
      </c>
      <c r="R71" s="4" t="n">
        <f aca="false">IF(MIN(AM71+IF(ISNUMBER(AN71),AN71,0),16000)&gt;=600,(MIN(AM71+IF(ISNUMBER(AN71),AN71,0),16000)-600)^0.8/10000*MIN(AM71+IF(ISNUMBER(AN71),AN71,0),16000),0)</f>
        <v>0</v>
      </c>
      <c r="S71" s="4" t="n">
        <f aca="false">IF(AB71=0,0,IF(AB71=1,30,IF(AB71=2,60,IF(AB71=3,120,IF(AB71=4,180,240)))))</f>
        <v>0</v>
      </c>
      <c r="T71" s="4" t="n">
        <f aca="false">IF(Y71&gt;0,Y71*600/MAX(1,Z71),0)</f>
        <v>0</v>
      </c>
      <c r="U71" s="4" t="n">
        <f aca="false">IF(AW71&gt;0,AW71*1000000*MAX(0,MIN(22,1+LOG10(AW71)))/100/12,0)</f>
        <v>0</v>
      </c>
      <c r="AA71" s="4" t="n">
        <f aca="true">IF(K71="W",IFERROR(IF(AND(AC71&gt;0,(TODAY()-AC71)&lt;36*365.25/12),2400/((TODAY()-AC71)/30.44/6+1),0),0)+IFERROR(IF(AND(AD71&gt;0,(TODAY()-AD71)&lt;36*365.25/12),2400/((TODAY()-AD71)/30.44/6+1),0),0)+IFERROR(IF(AND(AE71&gt;0,(TODAY()-AE71)&lt;36*365.25/12),2400/((TODAY()-AE71)/30.44/6+1),0),0)+IFERROR(IF(AND(AF71&gt;0,(TODAY()-AF71)&lt;36*365.25/12),2400/((TODAY()-AF71)/30.44/6+1),0),0)+IFERROR(IF(AND(AG71&gt;0,(TODAY()-AG71)&lt;36*365.25/12),2400/((TODAY()-AG71)/30.44/6+1),0),0),0)</f>
        <v>0</v>
      </c>
      <c r="AB71" s="4" t="n">
        <f aca="false">COUNTA(AC71:AG71)</f>
        <v>0</v>
      </c>
      <c r="AY71" s="1" t="n">
        <v>71</v>
      </c>
      <c r="BB71" s="1" t="n">
        <v>13</v>
      </c>
    </row>
    <row r="72" customFormat="false" ht="15" hidden="false" customHeight="true" outlineLevel="0" collapsed="false">
      <c r="B72" s="1" t="n">
        <v>72</v>
      </c>
      <c r="L72" s="4" t="n">
        <f aca="true">YEAR(TODAY())-H72</f>
        <v>2026</v>
      </c>
      <c r="N72" s="4" t="n">
        <f aca="true">O72+IF(AT72=1,480,0)+AA72+IF(K72="M",IF(AH72&gt;0,IF((TODAY()-AH72)/30.44&lt;6,2400,IF((TODAY()-AH72)/30.44&lt;12,1200,0)),0),0)+IF(AP72&gt;0,AP72,0)-R72-T72-S72-U72</f>
        <v>450</v>
      </c>
      <c r="O72" s="4" t="n">
        <f aca="true">IF(X72=1,1200,IF(YEAR(TODAY())-H72&lt;18,0,IF(YEAR(TODAY())-H72&lt;65,300,450)))</f>
        <v>450</v>
      </c>
      <c r="R72" s="4" t="n">
        <f aca="false">IF(MIN(AM72+IF(ISNUMBER(AN72),AN72,0),16000)&gt;=600,(MIN(AM72+IF(ISNUMBER(AN72),AN72,0),16000)-600)^0.8/10000*MIN(AM72+IF(ISNUMBER(AN72),AN72,0),16000),0)</f>
        <v>0</v>
      </c>
      <c r="S72" s="4" t="n">
        <f aca="false">IF(AB72=0,0,IF(AB72=1,30,IF(AB72=2,60,IF(AB72=3,120,IF(AB72=4,180,240)))))</f>
        <v>0</v>
      </c>
      <c r="T72" s="4" t="n">
        <f aca="false">IF(Y72&gt;0,Y72*600/MAX(1,Z72),0)</f>
        <v>0</v>
      </c>
      <c r="U72" s="4" t="n">
        <f aca="false">IF(AW72&gt;0,AW72*1000000*MAX(0,MIN(22,1+LOG10(AW72)))/100/12,0)</f>
        <v>0</v>
      </c>
      <c r="AA72" s="4" t="n">
        <f aca="true">IF(K72="W",IFERROR(IF(AND(AC72&gt;0,(TODAY()-AC72)&lt;36*365.25/12),2400/((TODAY()-AC72)/30.44/6+1),0),0)+IFERROR(IF(AND(AD72&gt;0,(TODAY()-AD72)&lt;36*365.25/12),2400/((TODAY()-AD72)/30.44/6+1),0),0)+IFERROR(IF(AND(AE72&gt;0,(TODAY()-AE72)&lt;36*365.25/12),2400/((TODAY()-AE72)/30.44/6+1),0),0)+IFERROR(IF(AND(AF72&gt;0,(TODAY()-AF72)&lt;36*365.25/12),2400/((TODAY()-AF72)/30.44/6+1),0),0)+IFERROR(IF(AND(AG72&gt;0,(TODAY()-AG72)&lt;36*365.25/12),2400/((TODAY()-AG72)/30.44/6+1),0),0),0)</f>
        <v>0</v>
      </c>
      <c r="AB72" s="4" t="n">
        <f aca="false">COUNTA(AC72:AG72)</f>
        <v>0</v>
      </c>
      <c r="AY72" s="1" t="n">
        <v>72</v>
      </c>
      <c r="BB72" s="1" t="n">
        <v>14</v>
      </c>
      <c r="CK72" s="1" t="s">
        <v>266</v>
      </c>
    </row>
    <row r="73" customFormat="false" ht="15" hidden="false" customHeight="true" outlineLevel="0" collapsed="false">
      <c r="B73" s="1" t="n">
        <v>73</v>
      </c>
      <c r="L73" s="4" t="n">
        <f aca="true">YEAR(TODAY())-H73</f>
        <v>2026</v>
      </c>
      <c r="N73" s="4" t="n">
        <f aca="true">O73+IF(AT73=1,480,0)+AA73+IF(K73="M",IF(AH73&gt;0,IF((TODAY()-AH73)/30.44&lt;6,2400,IF((TODAY()-AH73)/30.44&lt;12,1200,0)),0),0)+IF(AP73&gt;0,AP73,0)-R73-T73-S73-U73</f>
        <v>450</v>
      </c>
      <c r="O73" s="4" t="n">
        <f aca="true">IF(X73=1,1200,IF(YEAR(TODAY())-H73&lt;18,0,IF(YEAR(TODAY())-H73&lt;65,300,450)))</f>
        <v>450</v>
      </c>
      <c r="R73" s="4" t="n">
        <f aca="false">IF(MIN(AM73+IF(ISNUMBER(AN73),AN73,0),16000)&gt;=600,(MIN(AM73+IF(ISNUMBER(AN73),AN73,0),16000)-600)^0.8/10000*MIN(AM73+IF(ISNUMBER(AN73),AN73,0),16000),0)</f>
        <v>0</v>
      </c>
      <c r="S73" s="4" t="n">
        <f aca="false">IF(AB73=0,0,IF(AB73=1,30,IF(AB73=2,60,IF(AB73=3,120,IF(AB73=4,180,240)))))</f>
        <v>0</v>
      </c>
      <c r="T73" s="4" t="n">
        <f aca="false">IF(Y73&gt;0,Y73*600/MAX(1,Z73),0)</f>
        <v>0</v>
      </c>
      <c r="U73" s="4" t="n">
        <f aca="false">IF(AW73&gt;0,AW73*1000000*MAX(0,MIN(22,1+LOG10(AW73)))/100/12,0)</f>
        <v>0</v>
      </c>
      <c r="AA73" s="4" t="n">
        <f aca="true">IF(K73="W",IFERROR(IF(AND(AC73&gt;0,(TODAY()-AC73)&lt;36*365.25/12),2400/((TODAY()-AC73)/30.44/6+1),0),0)+IFERROR(IF(AND(AD73&gt;0,(TODAY()-AD73)&lt;36*365.25/12),2400/((TODAY()-AD73)/30.44/6+1),0),0)+IFERROR(IF(AND(AE73&gt;0,(TODAY()-AE73)&lt;36*365.25/12),2400/((TODAY()-AE73)/30.44/6+1),0),0)+IFERROR(IF(AND(AF73&gt;0,(TODAY()-AF73)&lt;36*365.25/12),2400/((TODAY()-AF73)/30.44/6+1),0),0)+IFERROR(IF(AND(AG73&gt;0,(TODAY()-AG73)&lt;36*365.25/12),2400/((TODAY()-AG73)/30.44/6+1),0),0),0)</f>
        <v>0</v>
      </c>
      <c r="AB73" s="4" t="n">
        <f aca="false">COUNTA(AC73:AG73)</f>
        <v>0</v>
      </c>
      <c r="AY73" s="1" t="n">
        <v>73</v>
      </c>
      <c r="BB73" s="1" t="n">
        <v>15</v>
      </c>
      <c r="CK73" s="1" t="n">
        <v>50000</v>
      </c>
    </row>
    <row r="74" customFormat="false" ht="15" hidden="false" customHeight="true" outlineLevel="0" collapsed="false">
      <c r="B74" s="1" t="n">
        <v>74</v>
      </c>
      <c r="L74" s="4" t="n">
        <f aca="true">YEAR(TODAY())-H74</f>
        <v>2026</v>
      </c>
      <c r="N74" s="4" t="n">
        <f aca="true">O74+IF(AT74=1,480,0)+AA74+IF(K74="M",IF(AH74&gt;0,IF((TODAY()-AH74)/30.44&lt;6,2400,IF((TODAY()-AH74)/30.44&lt;12,1200,0)),0),0)+IF(AP74&gt;0,AP74,0)-R74-T74-S74-U74</f>
        <v>450</v>
      </c>
      <c r="O74" s="4" t="n">
        <f aca="true">IF(X74=1,1200,IF(YEAR(TODAY())-H74&lt;18,0,IF(YEAR(TODAY())-H74&lt;65,300,450)))</f>
        <v>450</v>
      </c>
      <c r="R74" s="4" t="n">
        <f aca="false">IF(MIN(AM74+IF(ISNUMBER(AN74),AN74,0),16000)&gt;=600,(MIN(AM74+IF(ISNUMBER(AN74),AN74,0),16000)-600)^0.8/10000*MIN(AM74+IF(ISNUMBER(AN74),AN74,0),16000),0)</f>
        <v>0</v>
      </c>
      <c r="S74" s="4" t="n">
        <f aca="false">IF(AB74=0,0,IF(AB74=1,30,IF(AB74=2,60,IF(AB74=3,120,IF(AB74=4,180,240)))))</f>
        <v>0</v>
      </c>
      <c r="T74" s="4" t="n">
        <f aca="false">IF(Y74&gt;0,Y74*600/MAX(1,Z74),0)</f>
        <v>0</v>
      </c>
      <c r="U74" s="4" t="n">
        <f aca="false">IF(AW74&gt;0,AW74*1000000*MAX(0,MIN(22,1+LOG10(AW74)))/100/12,0)</f>
        <v>0</v>
      </c>
      <c r="AA74" s="4" t="n">
        <f aca="true">IF(K74="W",IFERROR(IF(AND(AC74&gt;0,(TODAY()-AC74)&lt;36*365.25/12),2400/((TODAY()-AC74)/30.44/6+1),0),0)+IFERROR(IF(AND(AD74&gt;0,(TODAY()-AD74)&lt;36*365.25/12),2400/((TODAY()-AD74)/30.44/6+1),0),0)+IFERROR(IF(AND(AE74&gt;0,(TODAY()-AE74)&lt;36*365.25/12),2400/((TODAY()-AE74)/30.44/6+1),0),0)+IFERROR(IF(AND(AF74&gt;0,(TODAY()-AF74)&lt;36*365.25/12),2400/((TODAY()-AF74)/30.44/6+1),0),0)+IFERROR(IF(AND(AG74&gt;0,(TODAY()-AG74)&lt;36*365.25/12),2400/((TODAY()-AG74)/30.44/6+1),0),0),0)</f>
        <v>0</v>
      </c>
      <c r="AB74" s="4" t="n">
        <f aca="false">COUNTA(AC74:AG74)</f>
        <v>0</v>
      </c>
      <c r="AY74" s="1" t="n">
        <v>74</v>
      </c>
      <c r="BB74" s="1" t="n">
        <v>16</v>
      </c>
      <c r="CK74" s="1" t="s">
        <v>267</v>
      </c>
    </row>
    <row r="75" customFormat="false" ht="15" hidden="false" customHeight="true" outlineLevel="0" collapsed="false">
      <c r="B75" s="1" t="n">
        <v>75</v>
      </c>
      <c r="L75" s="4" t="n">
        <f aca="true">YEAR(TODAY())-H75</f>
        <v>2026</v>
      </c>
      <c r="N75" s="4" t="n">
        <f aca="true">O75+IF(AT75=1,480,0)+AA75+IF(K75="M",IF(AH75&gt;0,IF((TODAY()-AH75)/30.44&lt;6,2400,IF((TODAY()-AH75)/30.44&lt;12,1200,0)),0),0)+IF(AP75&gt;0,AP75,0)-R75-T75-S75-U75</f>
        <v>450</v>
      </c>
      <c r="O75" s="4" t="n">
        <f aca="true">IF(X75=1,1200,IF(YEAR(TODAY())-H75&lt;18,0,IF(YEAR(TODAY())-H75&lt;65,300,450)))</f>
        <v>450</v>
      </c>
      <c r="R75" s="4" t="n">
        <f aca="false">IF(MIN(AM75+IF(ISNUMBER(AN75),AN75,0),16000)&gt;=600,(MIN(AM75+IF(ISNUMBER(AN75),AN75,0),16000)-600)^0.8/10000*MIN(AM75+IF(ISNUMBER(AN75),AN75,0),16000),0)</f>
        <v>0</v>
      </c>
      <c r="S75" s="4" t="n">
        <f aca="false">IF(AB75=0,0,IF(AB75=1,30,IF(AB75=2,60,IF(AB75=3,120,IF(AB75=4,180,240)))))</f>
        <v>0</v>
      </c>
      <c r="T75" s="4" t="n">
        <f aca="false">IF(Y75&gt;0,Y75*600/MAX(1,Z75),0)</f>
        <v>0</v>
      </c>
      <c r="U75" s="4" t="n">
        <f aca="false">IF(AW75&gt;0,AW75*1000000*MAX(0,MIN(22,1+LOG10(AW75)))/100/12,0)</f>
        <v>0</v>
      </c>
      <c r="AA75" s="4" t="n">
        <f aca="true">IF(K75="W",IFERROR(IF(AND(AC75&gt;0,(TODAY()-AC75)&lt;36*365.25/12),2400/((TODAY()-AC75)/30.44/6+1),0),0)+IFERROR(IF(AND(AD75&gt;0,(TODAY()-AD75)&lt;36*365.25/12),2400/((TODAY()-AD75)/30.44/6+1),0),0)+IFERROR(IF(AND(AE75&gt;0,(TODAY()-AE75)&lt;36*365.25/12),2400/((TODAY()-AE75)/30.44/6+1),0),0)+IFERROR(IF(AND(AF75&gt;0,(TODAY()-AF75)&lt;36*365.25/12),2400/((TODAY()-AF75)/30.44/6+1),0),0)+IFERROR(IF(AND(AG75&gt;0,(TODAY()-AG75)&lt;36*365.25/12),2400/((TODAY()-AG75)/30.44/6+1),0),0),0)</f>
        <v>0</v>
      </c>
      <c r="AB75" s="4" t="n">
        <f aca="false">COUNTA(AC75:AG75)</f>
        <v>0</v>
      </c>
      <c r="AY75" s="1" t="n">
        <v>75</v>
      </c>
      <c r="BB75" s="1" t="n">
        <v>17</v>
      </c>
    </row>
    <row r="76" customFormat="false" ht="15" hidden="false" customHeight="true" outlineLevel="0" collapsed="false">
      <c r="B76" s="1" t="n">
        <v>76</v>
      </c>
      <c r="L76" s="4" t="n">
        <f aca="true">YEAR(TODAY())-H76</f>
        <v>2026</v>
      </c>
      <c r="N76" s="4" t="n">
        <f aca="true">O76+IF(AT76=1,480,0)+AA76+IF(K76="M",IF(AH76&gt;0,IF((TODAY()-AH76)/30.44&lt;6,2400,IF((TODAY()-AH76)/30.44&lt;12,1200,0)),0),0)+IF(AP76&gt;0,AP76,0)-R76-T76-S76-U76</f>
        <v>450</v>
      </c>
      <c r="O76" s="4" t="n">
        <f aca="true">IF(X76=1,1200,IF(YEAR(TODAY())-H76&lt;18,0,IF(YEAR(TODAY())-H76&lt;65,300,450)))</f>
        <v>450</v>
      </c>
      <c r="R76" s="4" t="n">
        <f aca="false">IF(MIN(AM76+IF(ISNUMBER(AN76),AN76,0),16000)&gt;=600,(MIN(AM76+IF(ISNUMBER(AN76),AN76,0),16000)-600)^0.8/10000*MIN(AM76+IF(ISNUMBER(AN76),AN76,0),16000),0)</f>
        <v>0</v>
      </c>
      <c r="S76" s="4" t="n">
        <f aca="false">IF(AB76=0,0,IF(AB76=1,30,IF(AB76=2,60,IF(AB76=3,120,IF(AB76=4,180,240)))))</f>
        <v>0</v>
      </c>
      <c r="T76" s="4" t="n">
        <f aca="false">IF(Y76&gt;0,Y76*600/MAX(1,Z76),0)</f>
        <v>0</v>
      </c>
      <c r="U76" s="4" t="n">
        <f aca="false">IF(AW76&gt;0,AW76*1000000*MAX(0,MIN(22,1+LOG10(AW76)))/100/12,0)</f>
        <v>0</v>
      </c>
      <c r="AA76" s="4" t="n">
        <f aca="true">IF(K76="W",IFERROR(IF(AND(AC76&gt;0,(TODAY()-AC76)&lt;36*365.25/12),2400/((TODAY()-AC76)/30.44/6+1),0),0)+IFERROR(IF(AND(AD76&gt;0,(TODAY()-AD76)&lt;36*365.25/12),2400/((TODAY()-AD76)/30.44/6+1),0),0)+IFERROR(IF(AND(AE76&gt;0,(TODAY()-AE76)&lt;36*365.25/12),2400/((TODAY()-AE76)/30.44/6+1),0),0)+IFERROR(IF(AND(AF76&gt;0,(TODAY()-AF76)&lt;36*365.25/12),2400/((TODAY()-AF76)/30.44/6+1),0),0)+IFERROR(IF(AND(AG76&gt;0,(TODAY()-AG76)&lt;36*365.25/12),2400/((TODAY()-AG76)/30.44/6+1),0),0),0)</f>
        <v>0</v>
      </c>
      <c r="AB76" s="4" t="n">
        <f aca="false">COUNTA(AC76:AG76)</f>
        <v>0</v>
      </c>
      <c r="AY76" s="1" t="n">
        <v>76</v>
      </c>
      <c r="BB76" s="1" t="n">
        <v>18</v>
      </c>
    </row>
    <row r="77" customFormat="false" ht="15" hidden="false" customHeight="true" outlineLevel="0" collapsed="false">
      <c r="B77" s="1" t="n">
        <v>77</v>
      </c>
      <c r="L77" s="4" t="n">
        <f aca="true">YEAR(TODAY())-H77</f>
        <v>2026</v>
      </c>
      <c r="N77" s="4" t="n">
        <f aca="true">O77+IF(AT77=1,480,0)+AA77+IF(K77="M",IF(AH77&gt;0,IF((TODAY()-AH77)/30.44&lt;6,2400,IF((TODAY()-AH77)/30.44&lt;12,1200,0)),0),0)+IF(AP77&gt;0,AP77,0)-R77-T77-S77-U77</f>
        <v>450</v>
      </c>
      <c r="O77" s="4" t="n">
        <f aca="true">IF(X77=1,1200,IF(YEAR(TODAY())-H77&lt;18,0,IF(YEAR(TODAY())-H77&lt;65,300,450)))</f>
        <v>450</v>
      </c>
      <c r="R77" s="4" t="n">
        <f aca="false">IF(MIN(AM77+IF(ISNUMBER(AN77),AN77,0),16000)&gt;=600,(MIN(AM77+IF(ISNUMBER(AN77),AN77,0),16000)-600)^0.8/10000*MIN(AM77+IF(ISNUMBER(AN77),AN77,0),16000),0)</f>
        <v>0</v>
      </c>
      <c r="S77" s="4" t="n">
        <f aca="false">IF(AB77=0,0,IF(AB77=1,30,IF(AB77=2,60,IF(AB77=3,120,IF(AB77=4,180,240)))))</f>
        <v>0</v>
      </c>
      <c r="T77" s="4" t="n">
        <f aca="false">IF(Y77&gt;0,Y77*600/MAX(1,Z77),0)</f>
        <v>0</v>
      </c>
      <c r="U77" s="4" t="n">
        <f aca="false">IF(AW77&gt;0,AW77*1000000*MAX(0,MIN(22,1+LOG10(AW77)))/100/12,0)</f>
        <v>0</v>
      </c>
      <c r="AA77" s="4" t="n">
        <f aca="true">IF(K77="W",IFERROR(IF(AND(AC77&gt;0,(TODAY()-AC77)&lt;36*365.25/12),2400/((TODAY()-AC77)/30.44/6+1),0),0)+IFERROR(IF(AND(AD77&gt;0,(TODAY()-AD77)&lt;36*365.25/12),2400/((TODAY()-AD77)/30.44/6+1),0),0)+IFERROR(IF(AND(AE77&gt;0,(TODAY()-AE77)&lt;36*365.25/12),2400/((TODAY()-AE77)/30.44/6+1),0),0)+IFERROR(IF(AND(AF77&gt;0,(TODAY()-AF77)&lt;36*365.25/12),2400/((TODAY()-AF77)/30.44/6+1),0),0)+IFERROR(IF(AND(AG77&gt;0,(TODAY()-AG77)&lt;36*365.25/12),2400/((TODAY()-AG77)/30.44/6+1),0),0),0)</f>
        <v>0</v>
      </c>
      <c r="AB77" s="4" t="n">
        <f aca="false">COUNTA(AC77:AG77)</f>
        <v>0</v>
      </c>
      <c r="AY77" s="1" t="n">
        <v>77</v>
      </c>
      <c r="BB77" s="1" t="n">
        <v>19</v>
      </c>
    </row>
    <row r="78" customFormat="false" ht="15" hidden="false" customHeight="true" outlineLevel="0" collapsed="false">
      <c r="B78" s="1" t="n">
        <v>78</v>
      </c>
      <c r="L78" s="4" t="n">
        <f aca="true">YEAR(TODAY())-H78</f>
        <v>2026</v>
      </c>
      <c r="N78" s="4" t="n">
        <f aca="true">O78+IF(AT78=1,480,0)+AA78+IF(K78="M",IF(AH78&gt;0,IF((TODAY()-AH78)/30.44&lt;6,2400,IF((TODAY()-AH78)/30.44&lt;12,1200,0)),0),0)+IF(AP78&gt;0,AP78,0)-R78-T78-S78-U78</f>
        <v>450</v>
      </c>
      <c r="O78" s="4" t="n">
        <f aca="true">IF(X78=1,1200,IF(YEAR(TODAY())-H78&lt;18,0,IF(YEAR(TODAY())-H78&lt;65,300,450)))</f>
        <v>450</v>
      </c>
      <c r="R78" s="4" t="n">
        <f aca="false">IF(MIN(AM78+IF(ISNUMBER(AN78),AN78,0),16000)&gt;=600,(MIN(AM78+IF(ISNUMBER(AN78),AN78,0),16000)-600)^0.8/10000*MIN(AM78+IF(ISNUMBER(AN78),AN78,0),16000),0)</f>
        <v>0</v>
      </c>
      <c r="S78" s="4" t="n">
        <f aca="false">IF(AB78=0,0,IF(AB78=1,30,IF(AB78=2,60,IF(AB78=3,120,IF(AB78=4,180,240)))))</f>
        <v>0</v>
      </c>
      <c r="T78" s="4" t="n">
        <f aca="false">IF(Y78&gt;0,Y78*600/MAX(1,Z78),0)</f>
        <v>0</v>
      </c>
      <c r="U78" s="4" t="n">
        <f aca="false">IF(AW78&gt;0,AW78*1000000*MAX(0,MIN(22,1+LOG10(AW78)))/100/12,0)</f>
        <v>0</v>
      </c>
      <c r="AA78" s="4" t="n">
        <f aca="true">IF(K78="W",IFERROR(IF(AND(AC78&gt;0,(TODAY()-AC78)&lt;36*365.25/12),2400/((TODAY()-AC78)/30.44/6+1),0),0)+IFERROR(IF(AND(AD78&gt;0,(TODAY()-AD78)&lt;36*365.25/12),2400/((TODAY()-AD78)/30.44/6+1),0),0)+IFERROR(IF(AND(AE78&gt;0,(TODAY()-AE78)&lt;36*365.25/12),2400/((TODAY()-AE78)/30.44/6+1),0),0)+IFERROR(IF(AND(AF78&gt;0,(TODAY()-AF78)&lt;36*365.25/12),2400/((TODAY()-AF78)/30.44/6+1),0),0)+IFERROR(IF(AND(AG78&gt;0,(TODAY()-AG78)&lt;36*365.25/12),2400/((TODAY()-AG78)/30.44/6+1),0),0),0)</f>
        <v>0</v>
      </c>
      <c r="AB78" s="4" t="n">
        <f aca="false">COUNTA(AC78:AG78)</f>
        <v>0</v>
      </c>
      <c r="AY78" s="1" t="n">
        <v>78</v>
      </c>
      <c r="BB78" s="1" t="n">
        <v>20</v>
      </c>
      <c r="CG78" s="1" t="s">
        <v>268</v>
      </c>
    </row>
    <row r="79" customFormat="false" ht="15" hidden="false" customHeight="true" outlineLevel="0" collapsed="false">
      <c r="B79" s="1" t="n">
        <v>79</v>
      </c>
      <c r="L79" s="4" t="n">
        <f aca="true">YEAR(TODAY())-H79</f>
        <v>2026</v>
      </c>
      <c r="N79" s="4" t="n">
        <f aca="true">O79+IF(AT79=1,480,0)+AA79+IF(K79="M",IF(AH79&gt;0,IF((TODAY()-AH79)/30.44&lt;6,2400,IF((TODAY()-AH79)/30.44&lt;12,1200,0)),0),0)+IF(AP79&gt;0,AP79,0)-R79-T79-S79-U79</f>
        <v>450</v>
      </c>
      <c r="O79" s="4" t="n">
        <f aca="true">IF(X79=1,1200,IF(YEAR(TODAY())-H79&lt;18,0,IF(YEAR(TODAY())-H79&lt;65,300,450)))</f>
        <v>450</v>
      </c>
      <c r="R79" s="4" t="n">
        <f aca="false">IF(MIN(AM79+IF(ISNUMBER(AN79),AN79,0),16000)&gt;=600,(MIN(AM79+IF(ISNUMBER(AN79),AN79,0),16000)-600)^0.8/10000*MIN(AM79+IF(ISNUMBER(AN79),AN79,0),16000),0)</f>
        <v>0</v>
      </c>
      <c r="S79" s="4" t="n">
        <f aca="false">IF(AB79=0,0,IF(AB79=1,30,IF(AB79=2,60,IF(AB79=3,120,IF(AB79=4,180,240)))))</f>
        <v>0</v>
      </c>
      <c r="T79" s="4" t="n">
        <f aca="false">IF(Y79&gt;0,Y79*600/MAX(1,Z79),0)</f>
        <v>0</v>
      </c>
      <c r="U79" s="4" t="n">
        <f aca="false">IF(AW79&gt;0,AW79*1000000*MAX(0,MIN(22,1+LOG10(AW79)))/100/12,0)</f>
        <v>0</v>
      </c>
      <c r="AA79" s="4" t="n">
        <f aca="true">IF(K79="W",IFERROR(IF(AND(AC79&gt;0,(TODAY()-AC79)&lt;36*365.25/12),2400/((TODAY()-AC79)/30.44/6+1),0),0)+IFERROR(IF(AND(AD79&gt;0,(TODAY()-AD79)&lt;36*365.25/12),2400/((TODAY()-AD79)/30.44/6+1),0),0)+IFERROR(IF(AND(AE79&gt;0,(TODAY()-AE79)&lt;36*365.25/12),2400/((TODAY()-AE79)/30.44/6+1),0),0)+IFERROR(IF(AND(AF79&gt;0,(TODAY()-AF79)&lt;36*365.25/12),2400/((TODAY()-AF79)/30.44/6+1),0),0)+IFERROR(IF(AND(AG79&gt;0,(TODAY()-AG79)&lt;36*365.25/12),2400/((TODAY()-AG79)/30.44/6+1),0),0),0)</f>
        <v>0</v>
      </c>
      <c r="AB79" s="4" t="n">
        <f aca="false">COUNTA(AC79:AG79)</f>
        <v>0</v>
      </c>
      <c r="AY79" s="1" t="n">
        <v>79</v>
      </c>
      <c r="BB79" s="1" t="n">
        <v>21</v>
      </c>
      <c r="CG79" s="1" t="s">
        <v>269</v>
      </c>
      <c r="CH79" s="1" t="s">
        <v>270</v>
      </c>
      <c r="CI79" s="1" t="s">
        <v>271</v>
      </c>
      <c r="CJ79" s="1" t="s">
        <v>272</v>
      </c>
    </row>
    <row r="80" customFormat="false" ht="15" hidden="false" customHeight="true" outlineLevel="0" collapsed="false">
      <c r="B80" s="1" t="n">
        <v>80</v>
      </c>
      <c r="L80" s="4" t="n">
        <f aca="true">YEAR(TODAY())-H80</f>
        <v>2026</v>
      </c>
      <c r="N80" s="4" t="n">
        <f aca="true">O80+IF(AT80=1,480,0)+AA80+IF(K80="M",IF(AH80&gt;0,IF((TODAY()-AH80)/30.44&lt;6,2400,IF((TODAY()-AH80)/30.44&lt;12,1200,0)),0),0)+IF(AP80&gt;0,AP80,0)-R80-T80-S80-U80</f>
        <v>450</v>
      </c>
      <c r="O80" s="4" t="n">
        <f aca="true">IF(X80=1,1200,IF(YEAR(TODAY())-H80&lt;18,0,IF(YEAR(TODAY())-H80&lt;65,300,450)))</f>
        <v>450</v>
      </c>
      <c r="R80" s="4" t="n">
        <f aca="false">IF(MIN(AM80+IF(ISNUMBER(AN80),AN80,0),16000)&gt;=600,(MIN(AM80+IF(ISNUMBER(AN80),AN80,0),16000)-600)^0.8/10000*MIN(AM80+IF(ISNUMBER(AN80),AN80,0),16000),0)</f>
        <v>0</v>
      </c>
      <c r="S80" s="4" t="n">
        <f aca="false">IF(AB80=0,0,IF(AB80=1,30,IF(AB80=2,60,IF(AB80=3,120,IF(AB80=4,180,240)))))</f>
        <v>0</v>
      </c>
      <c r="T80" s="4" t="n">
        <f aca="false">IF(Y80&gt;0,Y80*600/MAX(1,Z80),0)</f>
        <v>0</v>
      </c>
      <c r="U80" s="4" t="n">
        <f aca="false">IF(AW80&gt;0,AW80*1000000*MAX(0,MIN(22,1+LOG10(AW80)))/100/12,0)</f>
        <v>0</v>
      </c>
      <c r="AA80" s="4" t="n">
        <f aca="true">IF(K80="W",IFERROR(IF(AND(AC80&gt;0,(TODAY()-AC80)&lt;36*365.25/12),2400/((TODAY()-AC80)/30.44/6+1),0),0)+IFERROR(IF(AND(AD80&gt;0,(TODAY()-AD80)&lt;36*365.25/12),2400/((TODAY()-AD80)/30.44/6+1),0),0)+IFERROR(IF(AND(AE80&gt;0,(TODAY()-AE80)&lt;36*365.25/12),2400/((TODAY()-AE80)/30.44/6+1),0),0)+IFERROR(IF(AND(AF80&gt;0,(TODAY()-AF80)&lt;36*365.25/12),2400/((TODAY()-AF80)/30.44/6+1),0),0)+IFERROR(IF(AND(AG80&gt;0,(TODAY()-AG80)&lt;36*365.25/12),2400/((TODAY()-AG80)/30.44/6+1),0),0),0)</f>
        <v>0</v>
      </c>
      <c r="AB80" s="4" t="n">
        <f aca="false">COUNTA(AC80:AG80)</f>
        <v>0</v>
      </c>
      <c r="AY80" s="1" t="n">
        <v>80</v>
      </c>
      <c r="BB80" s="1" t="n">
        <v>22</v>
      </c>
      <c r="CG80" s="1" t="s">
        <v>273</v>
      </c>
      <c r="CH80" s="1" t="n">
        <v>100</v>
      </c>
      <c r="CI80" s="1" t="s">
        <v>274</v>
      </c>
      <c r="CJ80" s="1" t="n">
        <v>20</v>
      </c>
    </row>
    <row r="81" customFormat="false" ht="15" hidden="false" customHeight="true" outlineLevel="0" collapsed="false">
      <c r="B81" s="1" t="n">
        <v>81</v>
      </c>
      <c r="L81" s="4" t="n">
        <f aca="true">YEAR(TODAY())-H81</f>
        <v>2026</v>
      </c>
      <c r="N81" s="4" t="n">
        <f aca="true">O81+IF(AT81=1,480,0)+AA81+IF(K81="M",IF(AH81&gt;0,IF((TODAY()-AH81)/30.44&lt;6,2400,IF((TODAY()-AH81)/30.44&lt;12,1200,0)),0),0)+IF(AP81&gt;0,AP81,0)-R81-T81-S81-U81</f>
        <v>450</v>
      </c>
      <c r="O81" s="4" t="n">
        <f aca="true">IF(X81=1,1200,IF(YEAR(TODAY())-H81&lt;18,0,IF(YEAR(TODAY())-H81&lt;65,300,450)))</f>
        <v>450</v>
      </c>
      <c r="R81" s="4" t="n">
        <f aca="false">IF(MIN(AM81+IF(ISNUMBER(AN81),AN81,0),16000)&gt;=600,(MIN(AM81+IF(ISNUMBER(AN81),AN81,0),16000)-600)^0.8/10000*MIN(AM81+IF(ISNUMBER(AN81),AN81,0),16000),0)</f>
        <v>0</v>
      </c>
      <c r="S81" s="4" t="n">
        <f aca="false">IF(AB81=0,0,IF(AB81=1,30,IF(AB81=2,60,IF(AB81=3,120,IF(AB81=4,180,240)))))</f>
        <v>0</v>
      </c>
      <c r="T81" s="4" t="n">
        <f aca="false">IF(Y81&gt;0,Y81*600/MAX(1,Z81),0)</f>
        <v>0</v>
      </c>
      <c r="U81" s="4" t="n">
        <f aca="false">IF(AW81&gt;0,AW81*1000000*MAX(0,MIN(22,1+LOG10(AW81)))/100/12,0)</f>
        <v>0</v>
      </c>
      <c r="AA81" s="4" t="n">
        <f aca="true">IF(K81="W",IFERROR(IF(AND(AC81&gt;0,(TODAY()-AC81)&lt;36*365.25/12),2400/((TODAY()-AC81)/30.44/6+1),0),0)+IFERROR(IF(AND(AD81&gt;0,(TODAY()-AD81)&lt;36*365.25/12),2400/((TODAY()-AD81)/30.44/6+1),0),0)+IFERROR(IF(AND(AE81&gt;0,(TODAY()-AE81)&lt;36*365.25/12),2400/((TODAY()-AE81)/30.44/6+1),0),0)+IFERROR(IF(AND(AF81&gt;0,(TODAY()-AF81)&lt;36*365.25/12),2400/((TODAY()-AF81)/30.44/6+1),0),0)+IFERROR(IF(AND(AG81&gt;0,(TODAY()-AG81)&lt;36*365.25/12),2400/((TODAY()-AG81)/30.44/6+1),0),0),0)</f>
        <v>0</v>
      </c>
      <c r="AB81" s="4" t="n">
        <f aca="false">COUNTA(AC81:AG81)</f>
        <v>0</v>
      </c>
      <c r="AY81" s="1" t="n">
        <v>81</v>
      </c>
      <c r="BB81" s="1" t="n">
        <v>23</v>
      </c>
      <c r="CG81" s="1" t="s">
        <v>275</v>
      </c>
      <c r="CH81" s="1" t="n">
        <v>30</v>
      </c>
      <c r="CI81" s="1" t="s">
        <v>276</v>
      </c>
      <c r="CJ81" s="1" t="n">
        <v>30</v>
      </c>
    </row>
    <row r="82" customFormat="false" ht="15" hidden="false" customHeight="true" outlineLevel="0" collapsed="false">
      <c r="B82" s="1" t="n">
        <v>82</v>
      </c>
      <c r="L82" s="4" t="n">
        <f aca="true">YEAR(TODAY())-H82</f>
        <v>2026</v>
      </c>
      <c r="N82" s="4" t="n">
        <f aca="true">O82+IF(AT82=1,480,0)+AA82+IF(K82="M",IF(AH82&gt;0,IF((TODAY()-AH82)/30.44&lt;6,2400,IF((TODAY()-AH82)/30.44&lt;12,1200,0)),0),0)+IF(AP82&gt;0,AP82,0)-R82-T82-S82-U82</f>
        <v>450</v>
      </c>
      <c r="O82" s="4" t="n">
        <f aca="true">IF(X82=1,1200,IF(YEAR(TODAY())-H82&lt;18,0,IF(YEAR(TODAY())-H82&lt;65,300,450)))</f>
        <v>450</v>
      </c>
      <c r="R82" s="4" t="n">
        <f aca="false">IF(MIN(AM82+IF(ISNUMBER(AN82),AN82,0),16000)&gt;=600,(MIN(AM82+IF(ISNUMBER(AN82),AN82,0),16000)-600)^0.8/10000*MIN(AM82+IF(ISNUMBER(AN82),AN82,0),16000),0)</f>
        <v>0</v>
      </c>
      <c r="S82" s="4" t="n">
        <f aca="false">IF(AB82=0,0,IF(AB82=1,30,IF(AB82=2,60,IF(AB82=3,120,IF(AB82=4,180,240)))))</f>
        <v>0</v>
      </c>
      <c r="T82" s="4" t="n">
        <f aca="false">IF(Y82&gt;0,Y82*600/MAX(1,Z82),0)</f>
        <v>0</v>
      </c>
      <c r="U82" s="4" t="n">
        <f aca="false">IF(AW82&gt;0,AW82*1000000*MAX(0,MIN(22,1+LOG10(AW82)))/100/12,0)</f>
        <v>0</v>
      </c>
      <c r="AA82" s="4" t="n">
        <f aca="true">IF(K82="W",IFERROR(IF(AND(AC82&gt;0,(TODAY()-AC82)&lt;36*365.25/12),2400/((TODAY()-AC82)/30.44/6+1),0),0)+IFERROR(IF(AND(AD82&gt;0,(TODAY()-AD82)&lt;36*365.25/12),2400/((TODAY()-AD82)/30.44/6+1),0),0)+IFERROR(IF(AND(AE82&gt;0,(TODAY()-AE82)&lt;36*365.25/12),2400/((TODAY()-AE82)/30.44/6+1),0),0)+IFERROR(IF(AND(AF82&gt;0,(TODAY()-AF82)&lt;36*365.25/12),2400/((TODAY()-AF82)/30.44/6+1),0),0)+IFERROR(IF(AND(AG82&gt;0,(TODAY()-AG82)&lt;36*365.25/12),2400/((TODAY()-AG82)/30.44/6+1),0),0),0)</f>
        <v>0</v>
      </c>
      <c r="AB82" s="4" t="n">
        <f aca="false">COUNTA(AC82:AG82)</f>
        <v>0</v>
      </c>
      <c r="AY82" s="1" t="n">
        <v>82</v>
      </c>
      <c r="BB82" s="1" t="n">
        <v>24</v>
      </c>
      <c r="CG82" s="1" t="s">
        <v>277</v>
      </c>
      <c r="CH82" s="1" t="n">
        <v>8000</v>
      </c>
      <c r="CI82" s="1" t="s">
        <v>278</v>
      </c>
      <c r="CJ82" s="1" t="n">
        <v>10</v>
      </c>
    </row>
    <row r="83" customFormat="false" ht="15" hidden="false" customHeight="true" outlineLevel="0" collapsed="false">
      <c r="B83" s="1" t="n">
        <v>83</v>
      </c>
      <c r="L83" s="4" t="n">
        <f aca="true">YEAR(TODAY())-H83</f>
        <v>2026</v>
      </c>
      <c r="N83" s="4" t="n">
        <f aca="true">O83+IF(AT83=1,480,0)+AA83+IF(K83="M",IF(AH83&gt;0,IF((TODAY()-AH83)/30.44&lt;6,2400,IF((TODAY()-AH83)/30.44&lt;12,1200,0)),0),0)+IF(AP83&gt;0,AP83,0)-R83-T83-S83-U83</f>
        <v>450</v>
      </c>
      <c r="O83" s="4" t="n">
        <f aca="true">IF(X83=1,1200,IF(YEAR(TODAY())-H83&lt;18,0,IF(YEAR(TODAY())-H83&lt;65,300,450)))</f>
        <v>450</v>
      </c>
      <c r="R83" s="4" t="n">
        <f aca="false">IF(MIN(AM83+IF(ISNUMBER(AN83),AN83,0),16000)&gt;=600,(MIN(AM83+IF(ISNUMBER(AN83),AN83,0),16000)-600)^0.8/10000*MIN(AM83+IF(ISNUMBER(AN83),AN83,0),16000),0)</f>
        <v>0</v>
      </c>
      <c r="S83" s="4" t="n">
        <f aca="false">IF(AB83=0,0,IF(AB83=1,30,IF(AB83=2,60,IF(AB83=3,120,IF(AB83=4,180,240)))))</f>
        <v>0</v>
      </c>
      <c r="T83" s="4" t="n">
        <f aca="false">IF(Y83&gt;0,Y83*600/MAX(1,Z83),0)</f>
        <v>0</v>
      </c>
      <c r="U83" s="4" t="n">
        <f aca="false">IF(AW83&gt;0,AW83*1000000*MAX(0,MIN(22,1+LOG10(AW83)))/100/12,0)</f>
        <v>0</v>
      </c>
      <c r="AA83" s="4" t="n">
        <f aca="true">IF(K83="W",IFERROR(IF(AND(AC83&gt;0,(TODAY()-AC83)&lt;36*365.25/12),2400/((TODAY()-AC83)/30.44/6+1),0),0)+IFERROR(IF(AND(AD83&gt;0,(TODAY()-AD83)&lt;36*365.25/12),2400/((TODAY()-AD83)/30.44/6+1),0),0)+IFERROR(IF(AND(AE83&gt;0,(TODAY()-AE83)&lt;36*365.25/12),2400/((TODAY()-AE83)/30.44/6+1),0),0)+IFERROR(IF(AND(AF83&gt;0,(TODAY()-AF83)&lt;36*365.25/12),2400/((TODAY()-AF83)/30.44/6+1),0),0)+IFERROR(IF(AND(AG83&gt;0,(TODAY()-AG83)&lt;36*365.25/12),2400/((TODAY()-AG83)/30.44/6+1),0),0),0)</f>
        <v>0</v>
      </c>
      <c r="AB83" s="4" t="n">
        <f aca="false">COUNTA(AC83:AG83)</f>
        <v>0</v>
      </c>
      <c r="AY83" s="1" t="n">
        <v>83</v>
      </c>
      <c r="BB83" s="1" t="n">
        <v>25</v>
      </c>
      <c r="BD83" s="1" t="s">
        <v>32</v>
      </c>
      <c r="CG83" s="1" t="s">
        <v>279</v>
      </c>
      <c r="CI83" s="1" t="s">
        <v>276</v>
      </c>
      <c r="CJ83" s="1" t="n">
        <v>50</v>
      </c>
    </row>
    <row r="84" customFormat="false" ht="15" hidden="false" customHeight="true" outlineLevel="0" collapsed="false">
      <c r="B84" s="1" t="n">
        <v>84</v>
      </c>
      <c r="L84" s="4" t="n">
        <f aca="true">YEAR(TODAY())-H84</f>
        <v>2026</v>
      </c>
      <c r="N84" s="4" t="n">
        <f aca="true">O84+IF(AT84=1,480,0)+AA84+IF(K84="M",IF(AH84&gt;0,IF((TODAY()-AH84)/30.44&lt;6,2400,IF((TODAY()-AH84)/30.44&lt;12,1200,0)),0),0)+IF(AP84&gt;0,AP84,0)-R84-T84-S84-U84</f>
        <v>450</v>
      </c>
      <c r="O84" s="4" t="n">
        <f aca="true">IF(X84=1,1200,IF(YEAR(TODAY())-H84&lt;18,0,IF(YEAR(TODAY())-H84&lt;65,300,450)))</f>
        <v>450</v>
      </c>
      <c r="R84" s="4" t="n">
        <f aca="false">IF(MIN(AM84+IF(ISNUMBER(AN84),AN84,0),16000)&gt;=600,(MIN(AM84+IF(ISNUMBER(AN84),AN84,0),16000)-600)^0.8/10000*MIN(AM84+IF(ISNUMBER(AN84),AN84,0),16000),0)</f>
        <v>0</v>
      </c>
      <c r="S84" s="4" t="n">
        <f aca="false">IF(AB84=0,0,IF(AB84=1,30,IF(AB84=2,60,IF(AB84=3,120,IF(AB84=4,180,240)))))</f>
        <v>0</v>
      </c>
      <c r="T84" s="4" t="n">
        <f aca="false">IF(Y84&gt;0,Y84*600/MAX(1,Z84),0)</f>
        <v>0</v>
      </c>
      <c r="U84" s="4" t="n">
        <f aca="false">IF(AW84&gt;0,AW84*1000000*MAX(0,MIN(22,1+LOG10(AW84)))/100/12,0)</f>
        <v>0</v>
      </c>
      <c r="AA84" s="4" t="n">
        <f aca="true">IF(K84="W",IFERROR(IF(AND(AC84&gt;0,(TODAY()-AC84)&lt;36*365.25/12),2400/((TODAY()-AC84)/30.44/6+1),0),0)+IFERROR(IF(AND(AD84&gt;0,(TODAY()-AD84)&lt;36*365.25/12),2400/((TODAY()-AD84)/30.44/6+1),0),0)+IFERROR(IF(AND(AE84&gt;0,(TODAY()-AE84)&lt;36*365.25/12),2400/((TODAY()-AE84)/30.44/6+1),0),0)+IFERROR(IF(AND(AF84&gt;0,(TODAY()-AF84)&lt;36*365.25/12),2400/((TODAY()-AF84)/30.44/6+1),0),0)+IFERROR(IF(AND(AG84&gt;0,(TODAY()-AG84)&lt;36*365.25/12),2400/((TODAY()-AG84)/30.44/6+1),0),0),0)</f>
        <v>0</v>
      </c>
      <c r="AB84" s="4" t="n">
        <f aca="false">COUNTA(AC84:AG84)</f>
        <v>0</v>
      </c>
      <c r="AY84" s="1" t="n">
        <v>84</v>
      </c>
      <c r="BB84" s="1" t="n">
        <v>26</v>
      </c>
      <c r="BD84" s="1" t="n">
        <v>0</v>
      </c>
      <c r="BE84" s="1" t="n">
        <v>2400</v>
      </c>
      <c r="CI84" s="1" t="s">
        <v>280</v>
      </c>
      <c r="CJ84" s="1" t="n">
        <v>200</v>
      </c>
    </row>
    <row r="85" customFormat="false" ht="15" hidden="false" customHeight="true" outlineLevel="0" collapsed="false">
      <c r="B85" s="1" t="n">
        <v>85</v>
      </c>
      <c r="L85" s="4" t="n">
        <f aca="true">YEAR(TODAY())-H85</f>
        <v>2026</v>
      </c>
      <c r="N85" s="4" t="n">
        <f aca="true">O85+IF(AT85=1,480,0)+AA85+IF(K85="M",IF(AH85&gt;0,IF((TODAY()-AH85)/30.44&lt;6,2400,IF((TODAY()-AH85)/30.44&lt;12,1200,0)),0),0)+IF(AP85&gt;0,AP85,0)-R85-T85-S85-U85</f>
        <v>450</v>
      </c>
      <c r="O85" s="4" t="n">
        <f aca="true">IF(X85=1,1200,IF(YEAR(TODAY())-H85&lt;18,0,IF(YEAR(TODAY())-H85&lt;65,300,450)))</f>
        <v>450</v>
      </c>
      <c r="R85" s="4" t="n">
        <f aca="false">IF(MIN(AM85+IF(ISNUMBER(AN85),AN85,0),16000)&gt;=600,(MIN(AM85+IF(ISNUMBER(AN85),AN85,0),16000)-600)^0.8/10000*MIN(AM85+IF(ISNUMBER(AN85),AN85,0),16000),0)</f>
        <v>0</v>
      </c>
      <c r="S85" s="4" t="n">
        <f aca="false">IF(AB85=0,0,IF(AB85=1,30,IF(AB85=2,60,IF(AB85=3,120,IF(AB85=4,180,240)))))</f>
        <v>0</v>
      </c>
      <c r="T85" s="4" t="n">
        <f aca="false">IF(Y85&gt;0,Y85*600/MAX(1,Z85),0)</f>
        <v>0</v>
      </c>
      <c r="U85" s="4" t="n">
        <f aca="false">IF(AW85&gt;0,AW85*1000000*MAX(0,MIN(22,1+LOG10(AW85)))/100/12,0)</f>
        <v>0</v>
      </c>
      <c r="AA85" s="4" t="n">
        <f aca="true">IF(K85="W",IFERROR(IF(AND(AC85&gt;0,(TODAY()-AC85)&lt;36*365.25/12),2400/((TODAY()-AC85)/30.44/6+1),0),0)+IFERROR(IF(AND(AD85&gt;0,(TODAY()-AD85)&lt;36*365.25/12),2400/((TODAY()-AD85)/30.44/6+1),0),0)+IFERROR(IF(AND(AE85&gt;0,(TODAY()-AE85)&lt;36*365.25/12),2400/((TODAY()-AE85)/30.44/6+1),0),0)+IFERROR(IF(AND(AF85&gt;0,(TODAY()-AF85)&lt;36*365.25/12),2400/((TODAY()-AF85)/30.44/6+1),0),0)+IFERROR(IF(AND(AG85&gt;0,(TODAY()-AG85)&lt;36*365.25/12),2400/((TODAY()-AG85)/30.44/6+1),0),0),0)</f>
        <v>0</v>
      </c>
      <c r="AB85" s="4" t="n">
        <f aca="false">COUNTA(AC85:AG85)</f>
        <v>0</v>
      </c>
      <c r="AY85" s="1" t="n">
        <v>85</v>
      </c>
      <c r="BB85" s="1" t="n">
        <v>27</v>
      </c>
      <c r="BD85" s="1" t="n">
        <v>1</v>
      </c>
      <c r="BE85" s="1" t="n">
        <v>1200</v>
      </c>
      <c r="CI85" s="1" t="s">
        <v>281</v>
      </c>
      <c r="CJ85" s="1" t="n">
        <v>300</v>
      </c>
    </row>
    <row r="86" customFormat="false" ht="15" hidden="false" customHeight="true" outlineLevel="0" collapsed="false">
      <c r="B86" s="1" t="n">
        <v>86</v>
      </c>
      <c r="L86" s="4" t="n">
        <f aca="true">YEAR(TODAY())-H86</f>
        <v>2026</v>
      </c>
      <c r="N86" s="4" t="n">
        <f aca="true">O86+IF(AT86=1,480,0)+AA86+IF(K86="M",IF(AH86&gt;0,IF((TODAY()-AH86)/30.44&lt;6,2400,IF((TODAY()-AH86)/30.44&lt;12,1200,0)),0),0)+IF(AP86&gt;0,AP86,0)-R86-T86-S86-U86</f>
        <v>450</v>
      </c>
      <c r="O86" s="4" t="n">
        <f aca="true">IF(X86=1,1200,IF(YEAR(TODAY())-H86&lt;18,0,IF(YEAR(TODAY())-H86&lt;65,300,450)))</f>
        <v>450</v>
      </c>
      <c r="R86" s="4" t="n">
        <f aca="false">IF(MIN(AM86+IF(ISNUMBER(AN86),AN86,0),16000)&gt;=600,(MIN(AM86+IF(ISNUMBER(AN86),AN86,0),16000)-600)^0.8/10000*MIN(AM86+IF(ISNUMBER(AN86),AN86,0),16000),0)</f>
        <v>0</v>
      </c>
      <c r="S86" s="4" t="n">
        <f aca="false">IF(AB86=0,0,IF(AB86=1,30,IF(AB86=2,60,IF(AB86=3,120,IF(AB86=4,180,240)))))</f>
        <v>0</v>
      </c>
      <c r="T86" s="4" t="n">
        <f aca="false">IF(Y86&gt;0,Y86*600/MAX(1,Z86),0)</f>
        <v>0</v>
      </c>
      <c r="U86" s="4" t="n">
        <f aca="false">IF(AW86&gt;0,AW86*1000000*MAX(0,MIN(22,1+LOG10(AW86)))/100/12,0)</f>
        <v>0</v>
      </c>
      <c r="AA86" s="4" t="n">
        <f aca="true">IF(K86="W",IFERROR(IF(AND(AC86&gt;0,(TODAY()-AC86)&lt;36*365.25/12),2400/((TODAY()-AC86)/30.44/6+1),0),0)+IFERROR(IF(AND(AD86&gt;0,(TODAY()-AD86)&lt;36*365.25/12),2400/((TODAY()-AD86)/30.44/6+1),0),0)+IFERROR(IF(AND(AE86&gt;0,(TODAY()-AE86)&lt;36*365.25/12),2400/((TODAY()-AE86)/30.44/6+1),0),0)+IFERROR(IF(AND(AF86&gt;0,(TODAY()-AF86)&lt;36*365.25/12),2400/((TODAY()-AF86)/30.44/6+1),0),0)+IFERROR(IF(AND(AG86&gt;0,(TODAY()-AG86)&lt;36*365.25/12),2400/((TODAY()-AG86)/30.44/6+1),0),0),0)</f>
        <v>0</v>
      </c>
      <c r="AB86" s="4" t="n">
        <f aca="false">COUNTA(AC86:AG86)</f>
        <v>0</v>
      </c>
      <c r="AY86" s="1" t="n">
        <v>86</v>
      </c>
      <c r="BB86" s="1" t="n">
        <v>28</v>
      </c>
      <c r="BD86" s="1" t="n">
        <v>2</v>
      </c>
      <c r="BE86" s="1" t="n">
        <v>0</v>
      </c>
      <c r="CI86" s="1" t="s">
        <v>282</v>
      </c>
      <c r="CJ86" s="1" t="n">
        <v>500</v>
      </c>
    </row>
    <row r="87" customFormat="false" ht="15" hidden="false" customHeight="true" outlineLevel="0" collapsed="false">
      <c r="B87" s="1" t="n">
        <v>87</v>
      </c>
      <c r="L87" s="4" t="n">
        <f aca="true">YEAR(TODAY())-H87</f>
        <v>2026</v>
      </c>
      <c r="N87" s="4" t="n">
        <f aca="true">O87+IF(AT87=1,480,0)+AA87+IF(K87="M",IF(AH87&gt;0,IF((TODAY()-AH87)/30.44&lt;6,2400,IF((TODAY()-AH87)/30.44&lt;12,1200,0)),0),0)+IF(AP87&gt;0,AP87,0)-R87-T87-S87-U87</f>
        <v>450</v>
      </c>
      <c r="O87" s="4" t="n">
        <f aca="true">IF(X87=1,1200,IF(YEAR(TODAY())-H87&lt;18,0,IF(YEAR(TODAY())-H87&lt;65,300,450)))</f>
        <v>450</v>
      </c>
      <c r="R87" s="4" t="n">
        <f aca="false">IF(MIN(AM87+IF(ISNUMBER(AN87),AN87,0),16000)&gt;=600,(MIN(AM87+IF(ISNUMBER(AN87),AN87,0),16000)-600)^0.8/10000*MIN(AM87+IF(ISNUMBER(AN87),AN87,0),16000),0)</f>
        <v>0</v>
      </c>
      <c r="S87" s="4" t="n">
        <f aca="false">IF(AB87=0,0,IF(AB87=1,30,IF(AB87=2,60,IF(AB87=3,120,IF(AB87=4,180,240)))))</f>
        <v>0</v>
      </c>
      <c r="T87" s="4" t="n">
        <f aca="false">IF(Y87&gt;0,Y87*600/MAX(1,Z87),0)</f>
        <v>0</v>
      </c>
      <c r="U87" s="4" t="n">
        <f aca="false">IF(AW87&gt;0,AW87*1000000*MAX(0,MIN(22,1+LOG10(AW87)))/100/12,0)</f>
        <v>0</v>
      </c>
      <c r="AA87" s="4" t="n">
        <f aca="true">IF(K87="W",IFERROR(IF(AND(AC87&gt;0,(TODAY()-AC87)&lt;36*365.25/12),2400/((TODAY()-AC87)/30.44/6+1),0),0)+IFERROR(IF(AND(AD87&gt;0,(TODAY()-AD87)&lt;36*365.25/12),2400/((TODAY()-AD87)/30.44/6+1),0),0)+IFERROR(IF(AND(AE87&gt;0,(TODAY()-AE87)&lt;36*365.25/12),2400/((TODAY()-AE87)/30.44/6+1),0),0)+IFERROR(IF(AND(AF87&gt;0,(TODAY()-AF87)&lt;36*365.25/12),2400/((TODAY()-AF87)/30.44/6+1),0),0)+IFERROR(IF(AND(AG87&gt;0,(TODAY()-AG87)&lt;36*365.25/12),2400/((TODAY()-AG87)/30.44/6+1),0),0),0)</f>
        <v>0</v>
      </c>
      <c r="AB87" s="4" t="n">
        <f aca="false">COUNTA(AC87:AG87)</f>
        <v>0</v>
      </c>
      <c r="AY87" s="1" t="n">
        <v>87</v>
      </c>
      <c r="BB87" s="1" t="n">
        <v>29</v>
      </c>
      <c r="BD87" s="1" t="s">
        <v>283</v>
      </c>
      <c r="CI87" s="1" t="s">
        <v>279</v>
      </c>
    </row>
    <row r="88" customFormat="false" ht="15" hidden="false" customHeight="true" outlineLevel="0" collapsed="false">
      <c r="B88" s="1" t="n">
        <v>88</v>
      </c>
      <c r="L88" s="4" t="n">
        <f aca="true">YEAR(TODAY())-H88</f>
        <v>2026</v>
      </c>
      <c r="N88" s="4" t="n">
        <f aca="true">O88+IF(AT88=1,480,0)+AA88+IF(K88="M",IF(AH88&gt;0,IF((TODAY()-AH88)/30.44&lt;6,2400,IF((TODAY()-AH88)/30.44&lt;12,1200,0)),0),0)+IF(AP88&gt;0,AP88,0)-R88-T88-S88-U88</f>
        <v>450</v>
      </c>
      <c r="O88" s="4" t="n">
        <f aca="true">IF(X88=1,1200,IF(YEAR(TODAY())-H88&lt;18,0,IF(YEAR(TODAY())-H88&lt;65,300,450)))</f>
        <v>450</v>
      </c>
      <c r="R88" s="4" t="n">
        <f aca="false">IF(MIN(AM88+IF(ISNUMBER(AN88),AN88,0),16000)&gt;=600,(MIN(AM88+IF(ISNUMBER(AN88),AN88,0),16000)-600)^0.8/10000*MIN(AM88+IF(ISNUMBER(AN88),AN88,0),16000),0)</f>
        <v>0</v>
      </c>
      <c r="S88" s="4" t="n">
        <f aca="false">IF(AB88=0,0,IF(AB88=1,30,IF(AB88=2,60,IF(AB88=3,120,IF(AB88=4,180,240)))))</f>
        <v>0</v>
      </c>
      <c r="T88" s="4" t="n">
        <f aca="false">IF(Y88&gt;0,Y88*600/MAX(1,Z88),0)</f>
        <v>0</v>
      </c>
      <c r="U88" s="4" t="n">
        <f aca="false">IF(AW88&gt;0,AW88*1000000*MAX(0,MIN(22,1+LOG10(AW88)))/100/12,0)</f>
        <v>0</v>
      </c>
      <c r="AA88" s="4" t="n">
        <f aca="true">IF(K88="W",IFERROR(IF(AND(AC88&gt;0,(TODAY()-AC88)&lt;36*365.25/12),2400/((TODAY()-AC88)/30.44/6+1),0),0)+IFERROR(IF(AND(AD88&gt;0,(TODAY()-AD88)&lt;36*365.25/12),2400/((TODAY()-AD88)/30.44/6+1),0),0)+IFERROR(IF(AND(AE88&gt;0,(TODAY()-AE88)&lt;36*365.25/12),2400/((TODAY()-AE88)/30.44/6+1),0),0)+IFERROR(IF(AND(AF88&gt;0,(TODAY()-AF88)&lt;36*365.25/12),2400/((TODAY()-AF88)/30.44/6+1),0),0)+IFERROR(IF(AND(AG88&gt;0,(TODAY()-AG88)&lt;36*365.25/12),2400/((TODAY()-AG88)/30.44/6+1),0),0),0)</f>
        <v>0</v>
      </c>
      <c r="AB88" s="4" t="n">
        <f aca="false">COUNTA(AC88:AG88)</f>
        <v>0</v>
      </c>
      <c r="AY88" s="1" t="n">
        <v>88</v>
      </c>
      <c r="BB88" s="1" t="n">
        <v>30</v>
      </c>
      <c r="BD88" s="1" t="s">
        <v>284</v>
      </c>
    </row>
    <row r="89" customFormat="false" ht="15" hidden="false" customHeight="true" outlineLevel="0" collapsed="false">
      <c r="B89" s="1" t="n">
        <v>89</v>
      </c>
      <c r="L89" s="4" t="n">
        <f aca="true">YEAR(TODAY())-H89</f>
        <v>2026</v>
      </c>
      <c r="N89" s="4" t="n">
        <f aca="true">O89+IF(AT89=1,480,0)+AA89+IF(K89="M",IF(AH89&gt;0,IF((TODAY()-AH89)/30.44&lt;6,2400,IF((TODAY()-AH89)/30.44&lt;12,1200,0)),0),0)+IF(AP89&gt;0,AP89,0)-R89-T89-S89-U89</f>
        <v>450</v>
      </c>
      <c r="O89" s="4" t="n">
        <f aca="true">IF(X89=1,1200,IF(YEAR(TODAY())-H89&lt;18,0,IF(YEAR(TODAY())-H89&lt;65,300,450)))</f>
        <v>450</v>
      </c>
      <c r="R89" s="4" t="n">
        <f aca="false">IF(MIN(AM89+IF(ISNUMBER(AN89),AN89,0),16000)&gt;=600,(MIN(AM89+IF(ISNUMBER(AN89),AN89,0),16000)-600)^0.8/10000*MIN(AM89+IF(ISNUMBER(AN89),AN89,0),16000),0)</f>
        <v>0</v>
      </c>
      <c r="S89" s="4" t="n">
        <f aca="false">IF(AB89=0,0,IF(AB89=1,30,IF(AB89=2,60,IF(AB89=3,120,IF(AB89=4,180,240)))))</f>
        <v>0</v>
      </c>
      <c r="T89" s="4" t="n">
        <f aca="false">IF(Y89&gt;0,Y89*600/MAX(1,Z89),0)</f>
        <v>0</v>
      </c>
      <c r="U89" s="4" t="n">
        <f aca="false">IF(AW89&gt;0,AW89*1000000*MAX(0,MIN(22,1+LOG10(AW89)))/100/12,0)</f>
        <v>0</v>
      </c>
      <c r="AA89" s="4" t="n">
        <f aca="true">IF(K89="W",IFERROR(IF(AND(AC89&gt;0,(TODAY()-AC89)&lt;36*365.25/12),2400/((TODAY()-AC89)/30.44/6+1),0),0)+IFERROR(IF(AND(AD89&gt;0,(TODAY()-AD89)&lt;36*365.25/12),2400/((TODAY()-AD89)/30.44/6+1),0),0)+IFERROR(IF(AND(AE89&gt;0,(TODAY()-AE89)&lt;36*365.25/12),2400/((TODAY()-AE89)/30.44/6+1),0),0)+IFERROR(IF(AND(AF89&gt;0,(TODAY()-AF89)&lt;36*365.25/12),2400/((TODAY()-AF89)/30.44/6+1),0),0)+IFERROR(IF(AND(AG89&gt;0,(TODAY()-AG89)&lt;36*365.25/12),2400/((TODAY()-AG89)/30.44/6+1),0),0),0)</f>
        <v>0</v>
      </c>
      <c r="AB89" s="4" t="n">
        <f aca="false">COUNTA(AC89:AG89)</f>
        <v>0</v>
      </c>
      <c r="AY89" s="1" t="n">
        <v>89</v>
      </c>
      <c r="BB89" s="1" t="n">
        <v>31</v>
      </c>
      <c r="BD89" s="1" t="s">
        <v>215</v>
      </c>
      <c r="CG89" s="1" t="s">
        <v>285</v>
      </c>
      <c r="CH89" s="1" t="s">
        <v>286</v>
      </c>
    </row>
    <row r="90" customFormat="false" ht="15" hidden="false" customHeight="true" outlineLevel="0" collapsed="false">
      <c r="B90" s="1" t="n">
        <v>90</v>
      </c>
      <c r="L90" s="4" t="n">
        <f aca="true">YEAR(TODAY())-H90</f>
        <v>2026</v>
      </c>
      <c r="N90" s="4" t="n">
        <f aca="true">O90+IF(AT90=1,480,0)+AA90+IF(K90="M",IF(AH90&gt;0,IF((TODAY()-AH90)/30.44&lt;6,2400,IF((TODAY()-AH90)/30.44&lt;12,1200,0)),0),0)+IF(AP90&gt;0,AP90,0)-R90-T90-S90-U90</f>
        <v>450</v>
      </c>
      <c r="O90" s="4" t="n">
        <f aca="true">IF(X90=1,1200,IF(YEAR(TODAY())-H90&lt;18,0,IF(YEAR(TODAY())-H90&lt;65,300,450)))</f>
        <v>450</v>
      </c>
      <c r="R90" s="4" t="n">
        <f aca="false">IF(MIN(AM90+IF(ISNUMBER(AN90),AN90,0),16000)&gt;=600,(MIN(AM90+IF(ISNUMBER(AN90),AN90,0),16000)-600)^0.8/10000*MIN(AM90+IF(ISNUMBER(AN90),AN90,0),16000),0)</f>
        <v>0</v>
      </c>
      <c r="S90" s="4" t="n">
        <f aca="false">IF(AB90=0,0,IF(AB90=1,30,IF(AB90=2,60,IF(AB90=3,120,IF(AB90=4,180,240)))))</f>
        <v>0</v>
      </c>
      <c r="T90" s="4" t="n">
        <f aca="false">IF(Y90&gt;0,Y90*600/MAX(1,Z90),0)</f>
        <v>0</v>
      </c>
      <c r="U90" s="4" t="n">
        <f aca="false">IF(AW90&gt;0,AW90*1000000*MAX(0,MIN(22,1+LOG10(AW90)))/100/12,0)</f>
        <v>0</v>
      </c>
      <c r="AA90" s="4" t="n">
        <f aca="true">IF(K90="W",IFERROR(IF(AND(AC90&gt;0,(TODAY()-AC90)&lt;36*365.25/12),2400/((TODAY()-AC90)/30.44/6+1),0),0)+IFERROR(IF(AND(AD90&gt;0,(TODAY()-AD90)&lt;36*365.25/12),2400/((TODAY()-AD90)/30.44/6+1),0),0)+IFERROR(IF(AND(AE90&gt;0,(TODAY()-AE90)&lt;36*365.25/12),2400/((TODAY()-AE90)/30.44/6+1),0),0)+IFERROR(IF(AND(AF90&gt;0,(TODAY()-AF90)&lt;36*365.25/12),2400/((TODAY()-AF90)/30.44/6+1),0),0)+IFERROR(IF(AND(AG90&gt;0,(TODAY()-AG90)&lt;36*365.25/12),2400/((TODAY()-AG90)/30.44/6+1),0),0),0)</f>
        <v>0</v>
      </c>
      <c r="AB90" s="4" t="n">
        <f aca="false">COUNTA(AC90:AG90)</f>
        <v>0</v>
      </c>
      <c r="AY90" s="1" t="n">
        <v>90</v>
      </c>
      <c r="BB90" s="1" t="n">
        <v>32</v>
      </c>
      <c r="CG90" s="1" t="s">
        <v>287</v>
      </c>
      <c r="CH90" s="1" t="n">
        <v>3000</v>
      </c>
    </row>
    <row r="91" customFormat="false" ht="15" hidden="false" customHeight="true" outlineLevel="0" collapsed="false">
      <c r="B91" s="1" t="n">
        <v>91</v>
      </c>
      <c r="L91" s="4" t="n">
        <f aca="true">YEAR(TODAY())-H91</f>
        <v>2026</v>
      </c>
      <c r="N91" s="4" t="n">
        <f aca="true">O91+IF(AT91=1,480,0)+AA91+IF(K91="M",IF(AH91&gt;0,IF((TODAY()-AH91)/30.44&lt;6,2400,IF((TODAY()-AH91)/30.44&lt;12,1200,0)),0),0)+IF(AP91&gt;0,AP91,0)-R91-T91-S91-U91</f>
        <v>450</v>
      </c>
      <c r="O91" s="4" t="n">
        <f aca="true">IF(X91=1,1200,IF(YEAR(TODAY())-H91&lt;18,0,IF(YEAR(TODAY())-H91&lt;65,300,450)))</f>
        <v>450</v>
      </c>
      <c r="R91" s="4" t="n">
        <f aca="false">IF(MIN(AM91+IF(ISNUMBER(AN91),AN91,0),16000)&gt;=600,(MIN(AM91+IF(ISNUMBER(AN91),AN91,0),16000)-600)^0.8/10000*MIN(AM91+IF(ISNUMBER(AN91),AN91,0),16000),0)</f>
        <v>0</v>
      </c>
      <c r="S91" s="4" t="n">
        <f aca="false">IF(AB91=0,0,IF(AB91=1,30,IF(AB91=2,60,IF(AB91=3,120,IF(AB91=4,180,240)))))</f>
        <v>0</v>
      </c>
      <c r="T91" s="4" t="n">
        <f aca="false">IF(Y91&gt;0,Y91*600/MAX(1,Z91),0)</f>
        <v>0</v>
      </c>
      <c r="U91" s="4" t="n">
        <f aca="false">IF(AW91&gt;0,AW91*1000000*MAX(0,MIN(22,1+LOG10(AW91)))/100/12,0)</f>
        <v>0</v>
      </c>
      <c r="AA91" s="4" t="n">
        <f aca="true">IF(K91="W",IFERROR(IF(AND(AC91&gt;0,(TODAY()-AC91)&lt;36*365.25/12),2400/((TODAY()-AC91)/30.44/6+1),0),0)+IFERROR(IF(AND(AD91&gt;0,(TODAY()-AD91)&lt;36*365.25/12),2400/((TODAY()-AD91)/30.44/6+1),0),0)+IFERROR(IF(AND(AE91&gt;0,(TODAY()-AE91)&lt;36*365.25/12),2400/((TODAY()-AE91)/30.44/6+1),0),0)+IFERROR(IF(AND(AF91&gt;0,(TODAY()-AF91)&lt;36*365.25/12),2400/((TODAY()-AF91)/30.44/6+1),0),0)+IFERROR(IF(AND(AG91&gt;0,(TODAY()-AG91)&lt;36*365.25/12),2400/((TODAY()-AG91)/30.44/6+1),0),0),0)</f>
        <v>0</v>
      </c>
      <c r="AB91" s="4" t="n">
        <f aca="false">COUNTA(AC91:AG91)</f>
        <v>0</v>
      </c>
      <c r="AY91" s="1" t="n">
        <v>91</v>
      </c>
      <c r="BB91" s="1" t="n">
        <v>33</v>
      </c>
      <c r="BD91" s="1" t="s">
        <v>288</v>
      </c>
      <c r="BF91" s="1" t="s">
        <v>289</v>
      </c>
      <c r="CG91" s="1" t="s">
        <v>290</v>
      </c>
      <c r="CH91" s="1" t="n">
        <v>3</v>
      </c>
    </row>
    <row r="92" customFormat="false" ht="15" hidden="false" customHeight="true" outlineLevel="0" collapsed="false">
      <c r="B92" s="1" t="n">
        <v>92</v>
      </c>
      <c r="L92" s="4" t="n">
        <f aca="true">YEAR(TODAY())-H92</f>
        <v>2026</v>
      </c>
      <c r="N92" s="4" t="n">
        <f aca="true">O92+IF(AT92=1,480,0)+AA92+IF(K92="M",IF(AH92&gt;0,IF((TODAY()-AH92)/30.44&lt;6,2400,IF((TODAY()-AH92)/30.44&lt;12,1200,0)),0),0)+IF(AP92&gt;0,AP92,0)-R92-T92-S92-U92</f>
        <v>450</v>
      </c>
      <c r="O92" s="4" t="n">
        <f aca="true">IF(X92=1,1200,IF(YEAR(TODAY())-H92&lt;18,0,IF(YEAR(TODAY())-H92&lt;65,300,450)))</f>
        <v>450</v>
      </c>
      <c r="R92" s="4" t="n">
        <f aca="false">IF(MIN(AM92+IF(ISNUMBER(AN92),AN92,0),16000)&gt;=600,(MIN(AM92+IF(ISNUMBER(AN92),AN92,0),16000)-600)^0.8/10000*MIN(AM92+IF(ISNUMBER(AN92),AN92,0),16000),0)</f>
        <v>0</v>
      </c>
      <c r="S92" s="4" t="n">
        <f aca="false">IF(AB92=0,0,IF(AB92=1,30,IF(AB92=2,60,IF(AB92=3,120,IF(AB92=4,180,240)))))</f>
        <v>0</v>
      </c>
      <c r="T92" s="4" t="n">
        <f aca="false">IF(Y92&gt;0,Y92*600/MAX(1,Z92),0)</f>
        <v>0</v>
      </c>
      <c r="U92" s="4" t="n">
        <f aca="false">IF(AW92&gt;0,AW92*1000000*MAX(0,MIN(22,1+LOG10(AW92)))/100/12,0)</f>
        <v>0</v>
      </c>
      <c r="AA92" s="4" t="n">
        <f aca="true">IF(K92="W",IFERROR(IF(AND(AC92&gt;0,(TODAY()-AC92)&lt;36*365.25/12),2400/((TODAY()-AC92)/30.44/6+1),0),0)+IFERROR(IF(AND(AD92&gt;0,(TODAY()-AD92)&lt;36*365.25/12),2400/((TODAY()-AD92)/30.44/6+1),0),0)+IFERROR(IF(AND(AE92&gt;0,(TODAY()-AE92)&lt;36*365.25/12),2400/((TODAY()-AE92)/30.44/6+1),0),0)+IFERROR(IF(AND(AF92&gt;0,(TODAY()-AF92)&lt;36*365.25/12),2400/((TODAY()-AF92)/30.44/6+1),0),0)+IFERROR(IF(AND(AG92&gt;0,(TODAY()-AG92)&lt;36*365.25/12),2400/((TODAY()-AG92)/30.44/6+1),0),0),0)</f>
        <v>0</v>
      </c>
      <c r="AB92" s="4" t="n">
        <f aca="false">COUNTA(AC92:AG92)</f>
        <v>0</v>
      </c>
      <c r="AY92" s="1" t="n">
        <v>92</v>
      </c>
      <c r="BB92" s="1" t="n">
        <v>34</v>
      </c>
      <c r="BD92" s="1" t="s">
        <v>291</v>
      </c>
      <c r="CG92" s="1" t="s">
        <v>292</v>
      </c>
      <c r="CH92" s="1" t="n">
        <v>7</v>
      </c>
    </row>
    <row r="93" customFormat="false" ht="15" hidden="false" customHeight="true" outlineLevel="0" collapsed="false">
      <c r="B93" s="1" t="n">
        <v>93</v>
      </c>
      <c r="L93" s="4" t="n">
        <f aca="true">YEAR(TODAY())-H93</f>
        <v>2026</v>
      </c>
      <c r="N93" s="4" t="n">
        <f aca="true">O93+IF(AT93=1,480,0)+AA93+IF(K93="M",IF(AH93&gt;0,IF((TODAY()-AH93)/30.44&lt;6,2400,IF((TODAY()-AH93)/30.44&lt;12,1200,0)),0),0)+IF(AP93&gt;0,AP93,0)-R93-T93-S93-U93</f>
        <v>450</v>
      </c>
      <c r="O93" s="4" t="n">
        <f aca="true">IF(X93=1,1200,IF(YEAR(TODAY())-H93&lt;18,0,IF(YEAR(TODAY())-H93&lt;65,300,450)))</f>
        <v>450</v>
      </c>
      <c r="R93" s="4" t="n">
        <f aca="false">IF(MIN(AM93+IF(ISNUMBER(AN93),AN93,0),16000)&gt;=600,(MIN(AM93+IF(ISNUMBER(AN93),AN93,0),16000)-600)^0.8/10000*MIN(AM93+IF(ISNUMBER(AN93),AN93,0),16000),0)</f>
        <v>0</v>
      </c>
      <c r="S93" s="4" t="n">
        <f aca="false">IF(AB93=0,0,IF(AB93=1,30,IF(AB93=2,60,IF(AB93=3,120,IF(AB93=4,180,240)))))</f>
        <v>0</v>
      </c>
      <c r="T93" s="4" t="n">
        <f aca="false">IF(Y93&gt;0,Y93*600/MAX(1,Z93),0)</f>
        <v>0</v>
      </c>
      <c r="U93" s="4" t="n">
        <f aca="false">IF(AW93&gt;0,AW93*1000000*MAX(0,MIN(22,1+LOG10(AW93)))/100/12,0)</f>
        <v>0</v>
      </c>
      <c r="AA93" s="4" t="n">
        <f aca="true">IF(K93="W",IFERROR(IF(AND(AC93&gt;0,(TODAY()-AC93)&lt;36*365.25/12),2400/((TODAY()-AC93)/30.44/6+1),0),0)+IFERROR(IF(AND(AD93&gt;0,(TODAY()-AD93)&lt;36*365.25/12),2400/((TODAY()-AD93)/30.44/6+1),0),0)+IFERROR(IF(AND(AE93&gt;0,(TODAY()-AE93)&lt;36*365.25/12),2400/((TODAY()-AE93)/30.44/6+1),0),0)+IFERROR(IF(AND(AF93&gt;0,(TODAY()-AF93)&lt;36*365.25/12),2400/((TODAY()-AF93)/30.44/6+1),0),0)+IFERROR(IF(AND(AG93&gt;0,(TODAY()-AG93)&lt;36*365.25/12),2400/((TODAY()-AG93)/30.44/6+1),0),0),0)</f>
        <v>0</v>
      </c>
      <c r="AB93" s="4" t="n">
        <f aca="false">COUNTA(AC93:AG93)</f>
        <v>0</v>
      </c>
      <c r="AY93" s="1" t="n">
        <v>93</v>
      </c>
      <c r="BB93" s="1" t="n">
        <v>35</v>
      </c>
      <c r="BD93" s="1" t="s">
        <v>293</v>
      </c>
      <c r="CG93" s="1" t="s">
        <v>294</v>
      </c>
    </row>
    <row r="94" customFormat="false" ht="15" hidden="false" customHeight="true" outlineLevel="0" collapsed="false">
      <c r="B94" s="1" t="n">
        <v>94</v>
      </c>
      <c r="L94" s="4" t="n">
        <f aca="true">YEAR(TODAY())-H94</f>
        <v>2026</v>
      </c>
      <c r="N94" s="4" t="n">
        <f aca="true">O94+IF(AT94=1,480,0)+AA94+IF(K94="M",IF(AH94&gt;0,IF((TODAY()-AH94)/30.44&lt;6,2400,IF((TODAY()-AH94)/30.44&lt;12,1200,0)),0),0)+IF(AP94&gt;0,AP94,0)-R94-T94-S94-U94</f>
        <v>450</v>
      </c>
      <c r="O94" s="4" t="n">
        <f aca="true">IF(X94=1,1200,IF(YEAR(TODAY())-H94&lt;18,0,IF(YEAR(TODAY())-H94&lt;65,300,450)))</f>
        <v>450</v>
      </c>
      <c r="R94" s="4" t="n">
        <f aca="false">IF(MIN(AM94+IF(ISNUMBER(AN94),AN94,0),16000)&gt;=600,(MIN(AM94+IF(ISNUMBER(AN94),AN94,0),16000)-600)^0.8/10000*MIN(AM94+IF(ISNUMBER(AN94),AN94,0),16000),0)</f>
        <v>0</v>
      </c>
      <c r="S94" s="4" t="n">
        <f aca="false">IF(AB94=0,0,IF(AB94=1,30,IF(AB94=2,60,IF(AB94=3,120,IF(AB94=4,180,240)))))</f>
        <v>0</v>
      </c>
      <c r="T94" s="4" t="n">
        <f aca="false">IF(Y94&gt;0,Y94*600/MAX(1,Z94),0)</f>
        <v>0</v>
      </c>
      <c r="U94" s="4" t="n">
        <f aca="false">IF(AW94&gt;0,AW94*1000000*MAX(0,MIN(22,1+LOG10(AW94)))/100/12,0)</f>
        <v>0</v>
      </c>
      <c r="AA94" s="4" t="n">
        <f aca="true">IF(K94="W",IFERROR(IF(AND(AC94&gt;0,(TODAY()-AC94)&lt;36*365.25/12),2400/((TODAY()-AC94)/30.44/6+1),0),0)+IFERROR(IF(AND(AD94&gt;0,(TODAY()-AD94)&lt;36*365.25/12),2400/((TODAY()-AD94)/30.44/6+1),0),0)+IFERROR(IF(AND(AE94&gt;0,(TODAY()-AE94)&lt;36*365.25/12),2400/((TODAY()-AE94)/30.44/6+1),0),0)+IFERROR(IF(AND(AF94&gt;0,(TODAY()-AF94)&lt;36*365.25/12),2400/((TODAY()-AF94)/30.44/6+1),0),0)+IFERROR(IF(AND(AG94&gt;0,(TODAY()-AG94)&lt;36*365.25/12),2400/((TODAY()-AG94)/30.44/6+1),0),0),0)</f>
        <v>0</v>
      </c>
      <c r="AB94" s="4" t="n">
        <f aca="false">COUNTA(AC94:AG94)</f>
        <v>0</v>
      </c>
      <c r="AY94" s="1" t="n">
        <v>94</v>
      </c>
      <c r="BB94" s="1" t="n">
        <v>36</v>
      </c>
      <c r="BD94" s="1" t="s">
        <v>39</v>
      </c>
      <c r="CG94" s="1" t="s">
        <v>295</v>
      </c>
      <c r="CH94" s="1" t="n">
        <v>0.4</v>
      </c>
    </row>
    <row r="95" customFormat="false" ht="15" hidden="false" customHeight="true" outlineLevel="0" collapsed="false">
      <c r="B95" s="1" t="n">
        <v>95</v>
      </c>
      <c r="L95" s="4" t="n">
        <f aca="true">YEAR(TODAY())-H95</f>
        <v>2026</v>
      </c>
      <c r="N95" s="4" t="n">
        <f aca="true">O95+IF(AT95=1,480,0)+AA95+IF(K95="M",IF(AH95&gt;0,IF((TODAY()-AH95)/30.44&lt;6,2400,IF((TODAY()-AH95)/30.44&lt;12,1200,0)),0),0)+IF(AP95&gt;0,AP95,0)-R95-T95-S95-U95</f>
        <v>450</v>
      </c>
      <c r="O95" s="4" t="n">
        <f aca="true">IF(X95=1,1200,IF(YEAR(TODAY())-H95&lt;18,0,IF(YEAR(TODAY())-H95&lt;65,300,450)))</f>
        <v>450</v>
      </c>
      <c r="R95" s="4" t="n">
        <f aca="false">IF(MIN(AM95+IF(ISNUMBER(AN95),AN95,0),16000)&gt;=600,(MIN(AM95+IF(ISNUMBER(AN95),AN95,0),16000)-600)^0.8/10000*MIN(AM95+IF(ISNUMBER(AN95),AN95,0),16000),0)</f>
        <v>0</v>
      </c>
      <c r="S95" s="4" t="n">
        <f aca="false">IF(AB95=0,0,IF(AB95=1,30,IF(AB95=2,60,IF(AB95=3,120,IF(AB95=4,180,240)))))</f>
        <v>0</v>
      </c>
      <c r="T95" s="4" t="n">
        <f aca="false">IF(Y95&gt;0,Y95*600/MAX(1,Z95),0)</f>
        <v>0</v>
      </c>
      <c r="U95" s="4" t="n">
        <f aca="false">IF(AW95&gt;0,AW95*1000000*MAX(0,MIN(22,1+LOG10(AW95)))/100/12,0)</f>
        <v>0</v>
      </c>
      <c r="AA95" s="4" t="n">
        <f aca="true">IF(K95="W",IFERROR(IF(AND(AC95&gt;0,(TODAY()-AC95)&lt;36*365.25/12),2400/((TODAY()-AC95)/30.44/6+1),0),0)+IFERROR(IF(AND(AD95&gt;0,(TODAY()-AD95)&lt;36*365.25/12),2400/((TODAY()-AD95)/30.44/6+1),0),0)+IFERROR(IF(AND(AE95&gt;0,(TODAY()-AE95)&lt;36*365.25/12),2400/((TODAY()-AE95)/30.44/6+1),0),0)+IFERROR(IF(AND(AF95&gt;0,(TODAY()-AF95)&lt;36*365.25/12),2400/((TODAY()-AF95)/30.44/6+1),0),0)+IFERROR(IF(AND(AG95&gt;0,(TODAY()-AG95)&lt;36*365.25/12),2400/((TODAY()-AG95)/30.44/6+1),0),0),0)</f>
        <v>0</v>
      </c>
      <c r="AB95" s="4" t="n">
        <f aca="false">COUNTA(AC95:AG95)</f>
        <v>0</v>
      </c>
      <c r="AY95" s="1" t="n">
        <v>95</v>
      </c>
      <c r="BB95" s="1" t="s">
        <v>215</v>
      </c>
      <c r="BD95" s="1" t="s">
        <v>296</v>
      </c>
      <c r="CG95" s="1" t="s">
        <v>297</v>
      </c>
      <c r="CH95" s="1" t="s">
        <v>298</v>
      </c>
      <c r="CI95" s="1" t="s">
        <v>299</v>
      </c>
    </row>
    <row r="96" customFormat="false" ht="15" hidden="false" customHeight="true" outlineLevel="0" collapsed="false">
      <c r="B96" s="1" t="n">
        <v>96</v>
      </c>
      <c r="L96" s="4" t="n">
        <f aca="true">YEAR(TODAY())-H96</f>
        <v>2026</v>
      </c>
      <c r="N96" s="4" t="n">
        <f aca="true">O96+IF(AT96=1,480,0)+AA96+IF(K96="M",IF(AH96&gt;0,IF((TODAY()-AH96)/30.44&lt;6,2400,IF((TODAY()-AH96)/30.44&lt;12,1200,0)),0),0)+IF(AP96&gt;0,AP96,0)-R96-T96-S96-U96</f>
        <v>450</v>
      </c>
      <c r="O96" s="4" t="n">
        <f aca="true">IF(X96=1,1200,IF(YEAR(TODAY())-H96&lt;18,0,IF(YEAR(TODAY())-H96&lt;65,300,450)))</f>
        <v>450</v>
      </c>
      <c r="R96" s="4" t="n">
        <f aca="false">IF(MIN(AM96+IF(ISNUMBER(AN96),AN96,0),16000)&gt;=600,(MIN(AM96+IF(ISNUMBER(AN96),AN96,0),16000)-600)^0.8/10000*MIN(AM96+IF(ISNUMBER(AN96),AN96,0),16000),0)</f>
        <v>0</v>
      </c>
      <c r="S96" s="4" t="n">
        <f aca="false">IF(AB96=0,0,IF(AB96=1,30,IF(AB96=2,60,IF(AB96=3,120,IF(AB96=4,180,240)))))</f>
        <v>0</v>
      </c>
      <c r="T96" s="4" t="n">
        <f aca="false">IF(Y96&gt;0,Y96*600/MAX(1,Z96),0)</f>
        <v>0</v>
      </c>
      <c r="U96" s="4" t="n">
        <f aca="false">IF(AW96&gt;0,AW96*1000000*MAX(0,MIN(22,1+LOG10(AW96)))/100/12,0)</f>
        <v>0</v>
      </c>
      <c r="AA96" s="4" t="n">
        <f aca="true">IF(K96="W",IFERROR(IF(AND(AC96&gt;0,(TODAY()-AC96)&lt;36*365.25/12),2400/((TODAY()-AC96)/30.44/6+1),0),0)+IFERROR(IF(AND(AD96&gt;0,(TODAY()-AD96)&lt;36*365.25/12),2400/((TODAY()-AD96)/30.44/6+1),0),0)+IFERROR(IF(AND(AE96&gt;0,(TODAY()-AE96)&lt;36*365.25/12),2400/((TODAY()-AE96)/30.44/6+1),0),0)+IFERROR(IF(AND(AF96&gt;0,(TODAY()-AF96)&lt;36*365.25/12),2400/((TODAY()-AF96)/30.44/6+1),0),0)+IFERROR(IF(AND(AG96&gt;0,(TODAY()-AG96)&lt;36*365.25/12),2400/((TODAY()-AG96)/30.44/6+1),0),0),0)</f>
        <v>0</v>
      </c>
      <c r="AB96" s="4" t="n">
        <f aca="false">COUNTA(AC96:AG96)</f>
        <v>0</v>
      </c>
      <c r="AY96" s="1" t="n">
        <v>96</v>
      </c>
      <c r="BB96" s="1" t="s">
        <v>300</v>
      </c>
      <c r="BD96" s="1" t="s">
        <v>301</v>
      </c>
      <c r="CG96" s="1" t="s">
        <v>302</v>
      </c>
      <c r="CH96" s="1" t="n">
        <v>12</v>
      </c>
      <c r="CJ96" s="1" t="s">
        <v>302</v>
      </c>
    </row>
    <row r="97" customFormat="false" ht="15" hidden="false" customHeight="true" outlineLevel="0" collapsed="false">
      <c r="B97" s="1" t="n">
        <v>97</v>
      </c>
      <c r="L97" s="4" t="n">
        <f aca="true">YEAR(TODAY())-H97</f>
        <v>2026</v>
      </c>
      <c r="N97" s="4" t="n">
        <f aca="true">O97+IF(AT97=1,480,0)+AA97+IF(K97="M",IF(AH97&gt;0,IF((TODAY()-AH97)/30.44&lt;6,2400,IF((TODAY()-AH97)/30.44&lt;12,1200,0)),0),0)+IF(AP97&gt;0,AP97,0)-R97-T97-S97-U97</f>
        <v>450</v>
      </c>
      <c r="O97" s="4" t="n">
        <f aca="true">IF(X97=1,1200,IF(YEAR(TODAY())-H97&lt;18,0,IF(YEAR(TODAY())-H97&lt;65,300,450)))</f>
        <v>450</v>
      </c>
      <c r="R97" s="4" t="n">
        <f aca="false">IF(MIN(AM97+IF(ISNUMBER(AN97),AN97,0),16000)&gt;=600,(MIN(AM97+IF(ISNUMBER(AN97),AN97,0),16000)-600)^0.8/10000*MIN(AM97+IF(ISNUMBER(AN97),AN97,0),16000),0)</f>
        <v>0</v>
      </c>
      <c r="S97" s="4" t="n">
        <f aca="false">IF(AB97=0,0,IF(AB97=1,30,IF(AB97=2,60,IF(AB97=3,120,IF(AB97=4,180,240)))))</f>
        <v>0</v>
      </c>
      <c r="T97" s="4" t="n">
        <f aca="false">IF(Y97&gt;0,Y97*600/MAX(1,Z97),0)</f>
        <v>0</v>
      </c>
      <c r="U97" s="4" t="n">
        <f aca="false">IF(AW97&gt;0,AW97*1000000*MAX(0,MIN(22,1+LOG10(AW97)))/100/12,0)</f>
        <v>0</v>
      </c>
      <c r="AA97" s="4" t="n">
        <f aca="true">IF(K97="W",IFERROR(IF(AND(AC97&gt;0,(TODAY()-AC97)&lt;36*365.25/12),2400/((TODAY()-AC97)/30.44/6+1),0),0)+IFERROR(IF(AND(AD97&gt;0,(TODAY()-AD97)&lt;36*365.25/12),2400/((TODAY()-AD97)/30.44/6+1),0),0)+IFERROR(IF(AND(AE97&gt;0,(TODAY()-AE97)&lt;36*365.25/12),2400/((TODAY()-AE97)/30.44/6+1),0),0)+IFERROR(IF(AND(AF97&gt;0,(TODAY()-AF97)&lt;36*365.25/12),2400/((TODAY()-AF97)/30.44/6+1),0),0)+IFERROR(IF(AND(AG97&gt;0,(TODAY()-AG97)&lt;36*365.25/12),2400/((TODAY()-AG97)/30.44/6+1),0),0),0)</f>
        <v>0</v>
      </c>
      <c r="AB97" s="4" t="n">
        <f aca="false">COUNTA(AC97:AG97)</f>
        <v>0</v>
      </c>
      <c r="AY97" s="1" t="n">
        <v>97</v>
      </c>
      <c r="CG97" s="1" t="s">
        <v>303</v>
      </c>
      <c r="CH97" s="1" t="n">
        <v>18</v>
      </c>
      <c r="CJ97" s="1" t="s">
        <v>304</v>
      </c>
    </row>
    <row r="98" customFormat="false" ht="15" hidden="false" customHeight="true" outlineLevel="0" collapsed="false">
      <c r="B98" s="1" t="n">
        <v>98</v>
      </c>
      <c r="L98" s="4" t="n">
        <f aca="true">YEAR(TODAY())-H98</f>
        <v>2026</v>
      </c>
      <c r="N98" s="4" t="n">
        <f aca="true">O98+IF(AT98=1,480,0)+AA98+IF(K98="M",IF(AH98&gt;0,IF((TODAY()-AH98)/30.44&lt;6,2400,IF((TODAY()-AH98)/30.44&lt;12,1200,0)),0),0)+IF(AP98&gt;0,AP98,0)-R98-T98-S98-U98</f>
        <v>450</v>
      </c>
      <c r="O98" s="4" t="n">
        <f aca="true">IF(X98=1,1200,IF(YEAR(TODAY())-H98&lt;18,0,IF(YEAR(TODAY())-H98&lt;65,300,450)))</f>
        <v>450</v>
      </c>
      <c r="R98" s="4" t="n">
        <f aca="false">IF(MIN(AM98+IF(ISNUMBER(AN98),AN98,0),16000)&gt;=600,(MIN(AM98+IF(ISNUMBER(AN98),AN98,0),16000)-600)^0.8/10000*MIN(AM98+IF(ISNUMBER(AN98),AN98,0),16000),0)</f>
        <v>0</v>
      </c>
      <c r="S98" s="4" t="n">
        <f aca="false">IF(AB98=0,0,IF(AB98=1,30,IF(AB98=2,60,IF(AB98=3,120,IF(AB98=4,180,240)))))</f>
        <v>0</v>
      </c>
      <c r="T98" s="4" t="n">
        <f aca="false">IF(Y98&gt;0,Y98*600/MAX(1,Z98),0)</f>
        <v>0</v>
      </c>
      <c r="U98" s="4" t="n">
        <f aca="false">IF(AW98&gt;0,AW98*1000000*MAX(0,MIN(22,1+LOG10(AW98)))/100/12,0)</f>
        <v>0</v>
      </c>
      <c r="AA98" s="4" t="n">
        <f aca="true">IF(K98="W",IFERROR(IF(AND(AC98&gt;0,(TODAY()-AC98)&lt;36*365.25/12),2400/((TODAY()-AC98)/30.44/6+1),0),0)+IFERROR(IF(AND(AD98&gt;0,(TODAY()-AD98)&lt;36*365.25/12),2400/((TODAY()-AD98)/30.44/6+1),0),0)+IFERROR(IF(AND(AE98&gt;0,(TODAY()-AE98)&lt;36*365.25/12),2400/((TODAY()-AE98)/30.44/6+1),0),0)+IFERROR(IF(AND(AF98&gt;0,(TODAY()-AF98)&lt;36*365.25/12),2400/((TODAY()-AF98)/30.44/6+1),0),0)+IFERROR(IF(AND(AG98&gt;0,(TODAY()-AG98)&lt;36*365.25/12),2400/((TODAY()-AG98)/30.44/6+1),0),0),0)</f>
        <v>0</v>
      </c>
      <c r="AB98" s="4" t="n">
        <f aca="false">COUNTA(AC98:AG98)</f>
        <v>0</v>
      </c>
      <c r="AY98" s="1" t="n">
        <v>98</v>
      </c>
      <c r="BC98" s="1" t="s">
        <v>305</v>
      </c>
      <c r="BD98" s="1" t="s">
        <v>306</v>
      </c>
      <c r="BE98" s="1" t="s">
        <v>307</v>
      </c>
      <c r="CG98" s="1" t="s">
        <v>308</v>
      </c>
      <c r="CJ98" s="1" t="s">
        <v>308</v>
      </c>
    </row>
    <row r="99" customFormat="false" ht="15" hidden="false" customHeight="true" outlineLevel="0" collapsed="false">
      <c r="B99" s="1" t="n">
        <v>99</v>
      </c>
      <c r="L99" s="4" t="n">
        <f aca="true">YEAR(TODAY())-H99</f>
        <v>2026</v>
      </c>
      <c r="N99" s="4" t="n">
        <f aca="true">O99+IF(AT99=1,480,0)+AA99+IF(K99="M",IF(AH99&gt;0,IF((TODAY()-AH99)/30.44&lt;6,2400,IF((TODAY()-AH99)/30.44&lt;12,1200,0)),0),0)+IF(AP99&gt;0,AP99,0)-R99-T99-S99-U99</f>
        <v>450</v>
      </c>
      <c r="O99" s="4" t="n">
        <f aca="true">IF(X99=1,1200,IF(YEAR(TODAY())-H99&lt;18,0,IF(YEAR(TODAY())-H99&lt;65,300,450)))</f>
        <v>450</v>
      </c>
      <c r="R99" s="4" t="n">
        <f aca="false">IF(MIN(AM99+IF(ISNUMBER(AN99),AN99,0),16000)&gt;=600,(MIN(AM99+IF(ISNUMBER(AN99),AN99,0),16000)-600)^0.8/10000*MIN(AM99+IF(ISNUMBER(AN99),AN99,0),16000),0)</f>
        <v>0</v>
      </c>
      <c r="S99" s="4" t="n">
        <f aca="false">IF(AB99=0,0,IF(AB99=1,30,IF(AB99=2,60,IF(AB99=3,120,IF(AB99=4,180,240)))))</f>
        <v>0</v>
      </c>
      <c r="T99" s="4" t="n">
        <f aca="false">IF(Y99&gt;0,Y99*600/MAX(1,Z99),0)</f>
        <v>0</v>
      </c>
      <c r="U99" s="4" t="n">
        <f aca="false">IF(AW99&gt;0,AW99*1000000*MAX(0,MIN(22,1+LOG10(AW99)))/100/12,0)</f>
        <v>0</v>
      </c>
      <c r="AA99" s="4" t="n">
        <f aca="true">IF(K99="W",IFERROR(IF(AND(AC99&gt;0,(TODAY()-AC99)&lt;36*365.25/12),2400/((TODAY()-AC99)/30.44/6+1),0),0)+IFERROR(IF(AND(AD99&gt;0,(TODAY()-AD99)&lt;36*365.25/12),2400/((TODAY()-AD99)/30.44/6+1),0),0)+IFERROR(IF(AND(AE99&gt;0,(TODAY()-AE99)&lt;36*365.25/12),2400/((TODAY()-AE99)/30.44/6+1),0),0)+IFERROR(IF(AND(AF99&gt;0,(TODAY()-AF99)&lt;36*365.25/12),2400/((TODAY()-AF99)/30.44/6+1),0),0)+IFERROR(IF(AND(AG99&gt;0,(TODAY()-AG99)&lt;36*365.25/12),2400/((TODAY()-AG99)/30.44/6+1),0),0),0)</f>
        <v>0</v>
      </c>
      <c r="AB99" s="4" t="n">
        <f aca="false">COUNTA(AC99:AG99)</f>
        <v>0</v>
      </c>
      <c r="AY99" s="1" t="n">
        <v>99</v>
      </c>
      <c r="BC99" s="1" t="s">
        <v>309</v>
      </c>
      <c r="BD99" s="1" t="s">
        <v>44</v>
      </c>
      <c r="BE99" s="1" t="s">
        <v>310</v>
      </c>
      <c r="CG99" s="1" t="s">
        <v>311</v>
      </c>
      <c r="CJ99" s="1" t="s">
        <v>311</v>
      </c>
    </row>
    <row r="100" customFormat="false" ht="15" hidden="false" customHeight="true" outlineLevel="0" collapsed="false">
      <c r="B100" s="1" t="s">
        <v>1</v>
      </c>
      <c r="E100" s="1" t="s">
        <v>4</v>
      </c>
      <c r="F100" s="1" t="s">
        <v>5</v>
      </c>
      <c r="G100" s="1" t="s">
        <v>6</v>
      </c>
      <c r="H100" s="1" t="s">
        <v>7</v>
      </c>
      <c r="I100" s="1" t="s">
        <v>8</v>
      </c>
      <c r="J100" s="1" t="s">
        <v>9</v>
      </c>
      <c r="K100" s="1" t="s">
        <v>10</v>
      </c>
      <c r="L100" s="1" t="s">
        <v>11</v>
      </c>
      <c r="M100" s="1" t="s">
        <v>12</v>
      </c>
      <c r="N100" s="1" t="s">
        <v>13</v>
      </c>
      <c r="O100" s="1" t="s">
        <v>14</v>
      </c>
      <c r="P100" s="1" t="s">
        <v>15</v>
      </c>
      <c r="Q100" s="1" t="s">
        <v>16</v>
      </c>
      <c r="R100" s="1" t="s">
        <v>17</v>
      </c>
      <c r="S100" s="1" t="s">
        <v>18</v>
      </c>
      <c r="T100" s="1" t="s">
        <v>19</v>
      </c>
      <c r="U100" s="1" t="s">
        <v>20</v>
      </c>
      <c r="V100" s="1" t="s">
        <v>21</v>
      </c>
      <c r="W100" s="1" t="s">
        <v>22</v>
      </c>
      <c r="X100" s="1" t="s">
        <v>23</v>
      </c>
      <c r="Y100" s="1" t="s">
        <v>19</v>
      </c>
      <c r="Z100" s="1" t="s">
        <v>24</v>
      </c>
      <c r="AA100" s="1" t="s">
        <v>25</v>
      </c>
      <c r="AB100" s="1" t="s">
        <v>26</v>
      </c>
      <c r="AC100" s="1" t="s">
        <v>27</v>
      </c>
      <c r="AD100" s="1" t="s">
        <v>28</v>
      </c>
      <c r="AE100" s="1" t="s">
        <v>29</v>
      </c>
      <c r="AF100" s="1" t="s">
        <v>30</v>
      </c>
      <c r="AG100" s="1" t="s">
        <v>31</v>
      </c>
      <c r="AH100" s="1" t="s">
        <v>32</v>
      </c>
      <c r="AI100" s="1" t="s">
        <v>33</v>
      </c>
      <c r="AJ100" s="1" t="s">
        <v>34</v>
      </c>
      <c r="AK100" s="1" t="s">
        <v>35</v>
      </c>
      <c r="AL100" s="1" t="s">
        <v>17</v>
      </c>
      <c r="AM100" s="1" t="s">
        <v>36</v>
      </c>
      <c r="AN100" s="1" t="s">
        <v>37</v>
      </c>
      <c r="AO100" s="1" t="s">
        <v>38</v>
      </c>
      <c r="AS100" s="1" t="s">
        <v>41</v>
      </c>
      <c r="AT100" s="1" t="s">
        <v>42</v>
      </c>
      <c r="AU100" s="1" t="s">
        <v>43</v>
      </c>
      <c r="AV100" s="1" t="s">
        <v>44</v>
      </c>
      <c r="AW100" s="1" t="s">
        <v>45</v>
      </c>
      <c r="AX100" s="1" t="s">
        <v>46</v>
      </c>
      <c r="AY100" s="1" t="s">
        <v>1</v>
      </c>
      <c r="AZ100" s="1" t="s">
        <v>12</v>
      </c>
      <c r="BC100" s="1" t="n">
        <v>1</v>
      </c>
      <c r="BD100" s="1" t="n">
        <v>1</v>
      </c>
      <c r="BE100" s="1" t="s">
        <v>312</v>
      </c>
    </row>
    <row r="101" customFormat="false" ht="15" hidden="false" customHeight="true" outlineLevel="0" collapsed="false">
      <c r="B101" s="1" t="n">
        <v>101</v>
      </c>
      <c r="L101" s="4" t="n">
        <f aca="true">YEAR(TODAY())-H101</f>
        <v>2026</v>
      </c>
      <c r="N101" s="4" t="n">
        <f aca="true">O101+IF(AT101=1,480,0)+AA101+IF(K101="M",IF(AH101&gt;0,IF((TODAY()-AH101)/30.44&lt;6,2400,IF((TODAY()-AH101)/30.44&lt;12,1200,0)),0),0)+IF(AP101&gt;0,AP101,0)-R101-T101-S101-U101</f>
        <v>450</v>
      </c>
      <c r="O101" s="4" t="n">
        <f aca="true">IF(X101=1,1200,IF(YEAR(TODAY())-H101&lt;18,0,IF(YEAR(TODAY())-H101&lt;65,300,450)))</f>
        <v>450</v>
      </c>
      <c r="R101" s="4" t="n">
        <f aca="false">IF(MIN(AM101+IF(ISNUMBER(AN101),AN101,0),16000)&gt;=600,(MIN(AM101+IF(ISNUMBER(AN101),AN101,0),16000)-600)^0.8/10000*MIN(AM101+IF(ISNUMBER(AN101),AN101,0),16000),0)</f>
        <v>0</v>
      </c>
      <c r="S101" s="4" t="n">
        <f aca="false">IF(AB101=0,0,IF(AB101=1,30,IF(AB101=2,60,IF(AB101=3,120,IF(AB101=4,180,240)))))</f>
        <v>0</v>
      </c>
      <c r="T101" s="4" t="n">
        <f aca="false">IF(Y101&gt;0,Y101*600/MAX(1,Z101),0)</f>
        <v>0</v>
      </c>
      <c r="U101" s="4" t="n">
        <f aca="false">IF(AW101&gt;0,AW101*1000000*MAX(0,MIN(22,1+LOG10(AW101)))/100/12,0)</f>
        <v>0</v>
      </c>
      <c r="AA101" s="4" t="n">
        <f aca="true">IF(K101="W",IFERROR(IF(AND(AC101&gt;0,(TODAY()-AC101)&lt;36*365.25/12),2400/((TODAY()-AC101)/30.44/6+1),0),0)+IFERROR(IF(AND(AD101&gt;0,(TODAY()-AD101)&lt;36*365.25/12),2400/((TODAY()-AD101)/30.44/6+1),0),0)+IFERROR(IF(AND(AE101&gt;0,(TODAY()-AE101)&lt;36*365.25/12),2400/((TODAY()-AE101)/30.44/6+1),0),0)+IFERROR(IF(AND(AF101&gt;0,(TODAY()-AF101)&lt;36*365.25/12),2400/((TODAY()-AF101)/30.44/6+1),0),0)+IFERROR(IF(AND(AG101&gt;0,(TODAY()-AG101)&lt;36*365.25/12),2400/((TODAY()-AG101)/30.44/6+1),0),0),0)</f>
        <v>0</v>
      </c>
      <c r="AB101" s="4" t="n">
        <f aca="false">COUNTA(AC101:AG101)</f>
        <v>0</v>
      </c>
      <c r="AY101" s="1" t="n">
        <v>101</v>
      </c>
      <c r="BC101" s="1" t="n">
        <v>10</v>
      </c>
      <c r="BD101" s="1" t="n">
        <v>2</v>
      </c>
      <c r="BE101" s="1" t="s">
        <v>313</v>
      </c>
    </row>
    <row r="102" customFormat="false" ht="15" hidden="false" customHeight="true" outlineLevel="0" collapsed="false">
      <c r="B102" s="1" t="n">
        <v>102</v>
      </c>
      <c r="L102" s="4" t="n">
        <f aca="true">YEAR(TODAY())-H102</f>
        <v>2026</v>
      </c>
      <c r="N102" s="4" t="n">
        <f aca="true">O102+IF(AT102=1,480,0)+AA102+IF(K102="M",IF(AH102&gt;0,IF((TODAY()-AH102)/30.44&lt;6,2400,IF((TODAY()-AH102)/30.44&lt;12,1200,0)),0),0)+IF(AP102&gt;0,AP102,0)-R102-T102-S102-U102</f>
        <v>450</v>
      </c>
      <c r="O102" s="4" t="n">
        <f aca="true">IF(X102=1,1200,IF(YEAR(TODAY())-H102&lt;18,0,IF(YEAR(TODAY())-H102&lt;65,300,450)))</f>
        <v>450</v>
      </c>
      <c r="R102" s="4" t="n">
        <f aca="false">IF(MIN(AM102+IF(ISNUMBER(AN102),AN102,0),16000)&gt;=600,(MIN(AM102+IF(ISNUMBER(AN102),AN102,0),16000)-600)^0.8/10000*MIN(AM102+IF(ISNUMBER(AN102),AN102,0),16000),0)</f>
        <v>0</v>
      </c>
      <c r="S102" s="4" t="n">
        <f aca="false">IF(AB102=0,0,IF(AB102=1,30,IF(AB102=2,60,IF(AB102=3,120,IF(AB102=4,180,240)))))</f>
        <v>0</v>
      </c>
      <c r="T102" s="4" t="n">
        <f aca="false">IF(Y102&gt;0,Y102*600/MAX(1,Z102),0)</f>
        <v>0</v>
      </c>
      <c r="U102" s="4" t="n">
        <f aca="false">IF(AW102&gt;0,AW102*1000000*MAX(0,MIN(22,1+LOG10(AW102)))/100/12,0)</f>
        <v>0</v>
      </c>
      <c r="AA102" s="4" t="n">
        <f aca="true">IF(K102="W",IFERROR(IF(AND(AC102&gt;0,(TODAY()-AC102)&lt;36*365.25/12),2400/((TODAY()-AC102)/30.44/6+1),0),0)+IFERROR(IF(AND(AD102&gt;0,(TODAY()-AD102)&lt;36*365.25/12),2400/((TODAY()-AD102)/30.44/6+1),0),0)+IFERROR(IF(AND(AE102&gt;0,(TODAY()-AE102)&lt;36*365.25/12),2400/((TODAY()-AE102)/30.44/6+1),0),0)+IFERROR(IF(AND(AF102&gt;0,(TODAY()-AF102)&lt;36*365.25/12),2400/((TODAY()-AF102)/30.44/6+1),0),0)+IFERROR(IF(AND(AG102&gt;0,(TODAY()-AG102)&lt;36*365.25/12),2400/((TODAY()-AG102)/30.44/6+1),0),0),0)</f>
        <v>0</v>
      </c>
      <c r="AB102" s="4" t="n">
        <f aca="false">COUNTA(AC102:AG102)</f>
        <v>0</v>
      </c>
      <c r="AY102" s="1" t="n">
        <v>102</v>
      </c>
      <c r="BC102" s="1" t="n">
        <v>100</v>
      </c>
      <c r="BD102" s="1" t="n">
        <v>3</v>
      </c>
    </row>
    <row r="103" customFormat="false" ht="15" hidden="false" customHeight="true" outlineLevel="0" collapsed="false">
      <c r="B103" s="1" t="n">
        <v>103</v>
      </c>
      <c r="L103" s="4" t="n">
        <f aca="true">YEAR(TODAY())-H103</f>
        <v>2026</v>
      </c>
      <c r="N103" s="4" t="n">
        <f aca="true">O103+IF(AT103=1,480,0)+AA103+IF(K103="M",IF(AH103&gt;0,IF((TODAY()-AH103)/30.44&lt;6,2400,IF((TODAY()-AH103)/30.44&lt;12,1200,0)),0),0)+IF(AP103&gt;0,AP103,0)-R103-T103-S103-U103</f>
        <v>450</v>
      </c>
      <c r="O103" s="4" t="n">
        <f aca="true">IF(X103=1,1200,IF(YEAR(TODAY())-H103&lt;18,0,IF(YEAR(TODAY())-H103&lt;65,300,450)))</f>
        <v>450</v>
      </c>
      <c r="R103" s="4" t="n">
        <f aca="false">IF(MIN(AM103+IF(ISNUMBER(AN103),AN103,0),16000)&gt;=600,(MIN(AM103+IF(ISNUMBER(AN103),AN103,0),16000)-600)^0.8/10000*MIN(AM103+IF(ISNUMBER(AN103),AN103,0),16000),0)</f>
        <v>0</v>
      </c>
      <c r="S103" s="4" t="n">
        <f aca="false">IF(AB103=0,0,IF(AB103=1,30,IF(AB103=2,60,IF(AB103=3,120,IF(AB103=4,180,240)))))</f>
        <v>0</v>
      </c>
      <c r="T103" s="4" t="n">
        <f aca="false">IF(Y103&gt;0,Y103*600/MAX(1,Z103),0)</f>
        <v>0</v>
      </c>
      <c r="U103" s="4" t="n">
        <f aca="false">IF(AW103&gt;0,AW103*1000000*MAX(0,MIN(22,1+LOG10(AW103)))/100/12,0)</f>
        <v>0</v>
      </c>
      <c r="AA103" s="4" t="n">
        <f aca="true">IF(K103="W",IFERROR(IF(AND(AC103&gt;0,(TODAY()-AC103)&lt;36*365.25/12),2400/((TODAY()-AC103)/30.44/6+1),0),0)+IFERROR(IF(AND(AD103&gt;0,(TODAY()-AD103)&lt;36*365.25/12),2400/((TODAY()-AD103)/30.44/6+1),0),0)+IFERROR(IF(AND(AE103&gt;0,(TODAY()-AE103)&lt;36*365.25/12),2400/((TODAY()-AE103)/30.44/6+1),0),0)+IFERROR(IF(AND(AF103&gt;0,(TODAY()-AF103)&lt;36*365.25/12),2400/((TODAY()-AF103)/30.44/6+1),0),0)+IFERROR(IF(AND(AG103&gt;0,(TODAY()-AG103)&lt;36*365.25/12),2400/((TODAY()-AG103)/30.44/6+1),0),0),0)</f>
        <v>0</v>
      </c>
      <c r="AB103" s="4" t="n">
        <f aca="false">COUNTA(AC103:AG103)</f>
        <v>0</v>
      </c>
      <c r="AY103" s="1" t="n">
        <v>103</v>
      </c>
      <c r="BC103" s="1" t="n">
        <v>1000</v>
      </c>
      <c r="BD103" s="1" t="n">
        <v>4</v>
      </c>
    </row>
    <row r="104" customFormat="false" ht="15" hidden="false" customHeight="true" outlineLevel="0" collapsed="false">
      <c r="B104" s="1" t="n">
        <v>104</v>
      </c>
      <c r="L104" s="4" t="n">
        <f aca="true">YEAR(TODAY())-H104</f>
        <v>2026</v>
      </c>
      <c r="N104" s="4" t="n">
        <f aca="true">O104+IF(AT104=1,480,0)+AA104+IF(K104="M",IF(AH104&gt;0,IF((TODAY()-AH104)/30.44&lt;6,2400,IF((TODAY()-AH104)/30.44&lt;12,1200,0)),0),0)+IF(AP104&gt;0,AP104,0)-R104-T104-S104-U104</f>
        <v>450</v>
      </c>
      <c r="O104" s="4" t="n">
        <f aca="true">IF(X104=1,1200,IF(YEAR(TODAY())-H104&lt;18,0,IF(YEAR(TODAY())-H104&lt;65,300,450)))</f>
        <v>450</v>
      </c>
      <c r="R104" s="4" t="n">
        <f aca="false">IF(MIN(AM104+IF(ISNUMBER(AN104),AN104,0),16000)&gt;=600,(MIN(AM104+IF(ISNUMBER(AN104),AN104,0),16000)-600)^0.8/10000*MIN(AM104+IF(ISNUMBER(AN104),AN104,0),16000),0)</f>
        <v>0</v>
      </c>
      <c r="S104" s="4" t="n">
        <f aca="false">IF(AB104=0,0,IF(AB104=1,30,IF(AB104=2,60,IF(AB104=3,120,IF(AB104=4,180,240)))))</f>
        <v>0</v>
      </c>
      <c r="T104" s="4" t="n">
        <f aca="false">IF(Y104&gt;0,Y104*600/MAX(1,Z104),0)</f>
        <v>0</v>
      </c>
      <c r="U104" s="4" t="n">
        <f aca="false">IF(AW104&gt;0,AW104*1000000*MAX(0,MIN(22,1+LOG10(AW104)))/100/12,0)</f>
        <v>0</v>
      </c>
      <c r="AA104" s="4" t="n">
        <f aca="true">IF(K104="W",IFERROR(IF(AND(AC104&gt;0,(TODAY()-AC104)&lt;36*365.25/12),2400/((TODAY()-AC104)/30.44/6+1),0),0)+IFERROR(IF(AND(AD104&gt;0,(TODAY()-AD104)&lt;36*365.25/12),2400/((TODAY()-AD104)/30.44/6+1),0),0)+IFERROR(IF(AND(AE104&gt;0,(TODAY()-AE104)&lt;36*365.25/12),2400/((TODAY()-AE104)/30.44/6+1),0),0)+IFERROR(IF(AND(AF104&gt;0,(TODAY()-AF104)&lt;36*365.25/12),2400/((TODAY()-AF104)/30.44/6+1),0),0)+IFERROR(IF(AND(AG104&gt;0,(TODAY()-AG104)&lt;36*365.25/12),2400/((TODAY()-AG104)/30.44/6+1),0),0),0)</f>
        <v>0</v>
      </c>
      <c r="AB104" s="4" t="n">
        <f aca="false">COUNTA(AC104:AG104)</f>
        <v>0</v>
      </c>
      <c r="AY104" s="1" t="n">
        <v>104</v>
      </c>
    </row>
    <row r="105" customFormat="false" ht="15" hidden="false" customHeight="true" outlineLevel="0" collapsed="false">
      <c r="B105" s="1" t="n">
        <v>105</v>
      </c>
      <c r="L105" s="4" t="n">
        <f aca="true">YEAR(TODAY())-H105</f>
        <v>2026</v>
      </c>
      <c r="N105" s="4" t="n">
        <f aca="true">O105+IF(AT105=1,480,0)+AA105+IF(K105="M",IF(AH105&gt;0,IF((TODAY()-AH105)/30.44&lt;6,2400,IF((TODAY()-AH105)/30.44&lt;12,1200,0)),0),0)+IF(AP105&gt;0,AP105,0)-R105-T105-S105-U105</f>
        <v>450</v>
      </c>
      <c r="O105" s="4" t="n">
        <f aca="true">IF(X105=1,1200,IF(YEAR(TODAY())-H105&lt;18,0,IF(YEAR(TODAY())-H105&lt;65,300,450)))</f>
        <v>450</v>
      </c>
      <c r="R105" s="4" t="n">
        <f aca="false">IF(MIN(AM105+IF(ISNUMBER(AN105),AN105,0),16000)&gt;=600,(MIN(AM105+IF(ISNUMBER(AN105),AN105,0),16000)-600)^0.8/10000*MIN(AM105+IF(ISNUMBER(AN105),AN105,0),16000),0)</f>
        <v>0</v>
      </c>
      <c r="S105" s="4" t="n">
        <f aca="false">IF(AB105=0,0,IF(AB105=1,30,IF(AB105=2,60,IF(AB105=3,120,IF(AB105=4,180,240)))))</f>
        <v>0</v>
      </c>
      <c r="T105" s="4" t="n">
        <f aca="false">IF(Y105&gt;0,Y105*600/MAX(1,Z105),0)</f>
        <v>0</v>
      </c>
      <c r="U105" s="4" t="n">
        <f aca="false">IF(AW105&gt;0,AW105*1000000*MAX(0,MIN(22,1+LOG10(AW105)))/100/12,0)</f>
        <v>0</v>
      </c>
      <c r="AA105" s="4" t="n">
        <f aca="true">IF(K105="W",IFERROR(IF(AND(AC105&gt;0,(TODAY()-AC105)&lt;36*365.25/12),2400/((TODAY()-AC105)/30.44/6+1),0),0)+IFERROR(IF(AND(AD105&gt;0,(TODAY()-AD105)&lt;36*365.25/12),2400/((TODAY()-AD105)/30.44/6+1),0),0)+IFERROR(IF(AND(AE105&gt;0,(TODAY()-AE105)&lt;36*365.25/12),2400/((TODAY()-AE105)/30.44/6+1),0),0)+IFERROR(IF(AND(AF105&gt;0,(TODAY()-AF105)&lt;36*365.25/12),2400/((TODAY()-AF105)/30.44/6+1),0),0)+IFERROR(IF(AND(AG105&gt;0,(TODAY()-AG105)&lt;36*365.25/12),2400/((TODAY()-AG105)/30.44/6+1),0),0),0)</f>
        <v>0</v>
      </c>
      <c r="AB105" s="4" t="n">
        <f aca="false">COUNTA(AC105:AG105)</f>
        <v>0</v>
      </c>
      <c r="AY105" s="1" t="n">
        <v>105</v>
      </c>
    </row>
    <row r="106" customFormat="false" ht="15" hidden="false" customHeight="true" outlineLevel="0" collapsed="false">
      <c r="B106" s="1" t="n">
        <v>106</v>
      </c>
      <c r="L106" s="4" t="n">
        <f aca="true">YEAR(TODAY())-H106</f>
        <v>2026</v>
      </c>
      <c r="N106" s="4" t="n">
        <f aca="true">O106+IF(AT106=1,480,0)+AA106+IF(K106="M",IF(AH106&gt;0,IF((TODAY()-AH106)/30.44&lt;6,2400,IF((TODAY()-AH106)/30.44&lt;12,1200,0)),0),0)+IF(AP106&gt;0,AP106,0)-R106-T106-S106-U106</f>
        <v>450</v>
      </c>
      <c r="O106" s="4" t="n">
        <f aca="true">IF(X106=1,1200,IF(YEAR(TODAY())-H106&lt;18,0,IF(YEAR(TODAY())-H106&lt;65,300,450)))</f>
        <v>450</v>
      </c>
      <c r="R106" s="4" t="n">
        <f aca="false">IF(MIN(AM106+IF(ISNUMBER(AN106),AN106,0),16000)&gt;=600,(MIN(AM106+IF(ISNUMBER(AN106),AN106,0),16000)-600)^0.8/10000*MIN(AM106+IF(ISNUMBER(AN106),AN106,0),16000),0)</f>
        <v>0</v>
      </c>
      <c r="S106" s="4" t="n">
        <f aca="false">IF(AB106=0,0,IF(AB106=1,30,IF(AB106=2,60,IF(AB106=3,120,IF(AB106=4,180,240)))))</f>
        <v>0</v>
      </c>
      <c r="T106" s="4" t="n">
        <f aca="false">IF(Y106&gt;0,Y106*600/MAX(1,Z106),0)</f>
        <v>0</v>
      </c>
      <c r="U106" s="4" t="n">
        <f aca="false">IF(AW106&gt;0,AW106*1000000*MAX(0,MIN(22,1+LOG10(AW106)))/100/12,0)</f>
        <v>0</v>
      </c>
      <c r="AA106" s="4" t="n">
        <f aca="true">IF(K106="W",IFERROR(IF(AND(AC106&gt;0,(TODAY()-AC106)&lt;36*365.25/12),2400/((TODAY()-AC106)/30.44/6+1),0),0)+IFERROR(IF(AND(AD106&gt;0,(TODAY()-AD106)&lt;36*365.25/12),2400/((TODAY()-AD106)/30.44/6+1),0),0)+IFERROR(IF(AND(AE106&gt;0,(TODAY()-AE106)&lt;36*365.25/12),2400/((TODAY()-AE106)/30.44/6+1),0),0)+IFERROR(IF(AND(AF106&gt;0,(TODAY()-AF106)&lt;36*365.25/12),2400/((TODAY()-AF106)/30.44/6+1),0),0)+IFERROR(IF(AND(AG106&gt;0,(TODAY()-AG106)&lt;36*365.25/12),2400/((TODAY()-AG106)/30.44/6+1),0),0),0)</f>
        <v>0</v>
      </c>
      <c r="AB106" s="4" t="n">
        <f aca="false">COUNTA(AC106:AG106)</f>
        <v>0</v>
      </c>
      <c r="AY106" s="1" t="n">
        <v>106</v>
      </c>
    </row>
    <row r="107" customFormat="false" ht="15" hidden="false" customHeight="true" outlineLevel="0" collapsed="false">
      <c r="B107" s="1" t="n">
        <v>107</v>
      </c>
      <c r="L107" s="4" t="n">
        <f aca="true">YEAR(TODAY())-H107</f>
        <v>2026</v>
      </c>
      <c r="N107" s="4" t="n">
        <f aca="true">O107+IF(AT107=1,480,0)+AA107+IF(K107="M",IF(AH107&gt;0,IF((TODAY()-AH107)/30.44&lt;6,2400,IF((TODAY()-AH107)/30.44&lt;12,1200,0)),0),0)+IF(AP107&gt;0,AP107,0)-R107-T107-S107-U107</f>
        <v>450</v>
      </c>
      <c r="O107" s="4" t="n">
        <f aca="true">IF(X107=1,1200,IF(YEAR(TODAY())-H107&lt;18,0,IF(YEAR(TODAY())-H107&lt;65,300,450)))</f>
        <v>450</v>
      </c>
      <c r="R107" s="4" t="n">
        <f aca="false">IF(MIN(AM107+IF(ISNUMBER(AN107),AN107,0),16000)&gt;=600,(MIN(AM107+IF(ISNUMBER(AN107),AN107,0),16000)-600)^0.8/10000*MIN(AM107+IF(ISNUMBER(AN107),AN107,0),16000),0)</f>
        <v>0</v>
      </c>
      <c r="S107" s="4" t="n">
        <f aca="false">IF(AB107=0,0,IF(AB107=1,30,IF(AB107=2,60,IF(AB107=3,120,IF(AB107=4,180,240)))))</f>
        <v>0</v>
      </c>
      <c r="T107" s="4" t="n">
        <f aca="false">IF(Y107&gt;0,Y107*600/MAX(1,Z107),0)</f>
        <v>0</v>
      </c>
      <c r="U107" s="4" t="n">
        <f aca="false">IF(AW107&gt;0,AW107*1000000*MAX(0,MIN(22,1+LOG10(AW107)))/100/12,0)</f>
        <v>0</v>
      </c>
      <c r="AA107" s="4" t="n">
        <f aca="true">IF(K107="W",IFERROR(IF(AND(AC107&gt;0,(TODAY()-AC107)&lt;36*365.25/12),2400/((TODAY()-AC107)/30.44/6+1),0),0)+IFERROR(IF(AND(AD107&gt;0,(TODAY()-AD107)&lt;36*365.25/12),2400/((TODAY()-AD107)/30.44/6+1),0),0)+IFERROR(IF(AND(AE107&gt;0,(TODAY()-AE107)&lt;36*365.25/12),2400/((TODAY()-AE107)/30.44/6+1),0),0)+IFERROR(IF(AND(AF107&gt;0,(TODAY()-AF107)&lt;36*365.25/12),2400/((TODAY()-AF107)/30.44/6+1),0),0)+IFERROR(IF(AND(AG107&gt;0,(TODAY()-AG107)&lt;36*365.25/12),2400/((TODAY()-AG107)/30.44/6+1),0),0),0)</f>
        <v>0</v>
      </c>
      <c r="AB107" s="4" t="n">
        <f aca="false">COUNTA(AC107:AG107)</f>
        <v>0</v>
      </c>
      <c r="AY107" s="1" t="n">
        <v>107</v>
      </c>
    </row>
    <row r="108" customFormat="false" ht="15" hidden="false" customHeight="true" outlineLevel="0" collapsed="false">
      <c r="B108" s="1" t="n">
        <v>108</v>
      </c>
      <c r="L108" s="4" t="n">
        <f aca="true">YEAR(TODAY())-H108</f>
        <v>2026</v>
      </c>
      <c r="N108" s="4" t="n">
        <f aca="true">O108+IF(AT108=1,480,0)+AA108+IF(K108="M",IF(AH108&gt;0,IF((TODAY()-AH108)/30.44&lt;6,2400,IF((TODAY()-AH108)/30.44&lt;12,1200,0)),0),0)+IF(AP108&gt;0,AP108,0)-R108-T108-S108-U108</f>
        <v>450</v>
      </c>
      <c r="O108" s="4" t="n">
        <f aca="true">IF(X108=1,1200,IF(YEAR(TODAY())-H108&lt;18,0,IF(YEAR(TODAY())-H108&lt;65,300,450)))</f>
        <v>450</v>
      </c>
      <c r="R108" s="4" t="n">
        <f aca="false">IF(MIN(AM108+IF(ISNUMBER(AN108),AN108,0),16000)&gt;=600,(MIN(AM108+IF(ISNUMBER(AN108),AN108,0),16000)-600)^0.8/10000*MIN(AM108+IF(ISNUMBER(AN108),AN108,0),16000),0)</f>
        <v>0</v>
      </c>
      <c r="S108" s="4" t="n">
        <f aca="false">IF(AB108=0,0,IF(AB108=1,30,IF(AB108=2,60,IF(AB108=3,120,IF(AB108=4,180,240)))))</f>
        <v>0</v>
      </c>
      <c r="T108" s="4" t="n">
        <f aca="false">IF(Y108&gt;0,Y108*600/MAX(1,Z108),0)</f>
        <v>0</v>
      </c>
      <c r="U108" s="4" t="n">
        <f aca="false">IF(AW108&gt;0,AW108*1000000*MAX(0,MIN(22,1+LOG10(AW108)))/100/12,0)</f>
        <v>0</v>
      </c>
      <c r="AA108" s="4" t="n">
        <f aca="true">IF(K108="W",IFERROR(IF(AND(AC108&gt;0,(TODAY()-AC108)&lt;36*365.25/12),2400/((TODAY()-AC108)/30.44/6+1),0),0)+IFERROR(IF(AND(AD108&gt;0,(TODAY()-AD108)&lt;36*365.25/12),2400/((TODAY()-AD108)/30.44/6+1),0),0)+IFERROR(IF(AND(AE108&gt;0,(TODAY()-AE108)&lt;36*365.25/12),2400/((TODAY()-AE108)/30.44/6+1),0),0)+IFERROR(IF(AND(AF108&gt;0,(TODAY()-AF108)&lt;36*365.25/12),2400/((TODAY()-AF108)/30.44/6+1),0),0)+IFERROR(IF(AND(AG108&gt;0,(TODAY()-AG108)&lt;36*365.25/12),2400/((TODAY()-AG108)/30.44/6+1),0),0),0)</f>
        <v>0</v>
      </c>
      <c r="AB108" s="4" t="n">
        <f aca="false">COUNTA(AC108:AG108)</f>
        <v>0</v>
      </c>
      <c r="AY108" s="1" t="n">
        <v>108</v>
      </c>
    </row>
    <row r="109" customFormat="false" ht="15" hidden="false" customHeight="true" outlineLevel="0" collapsed="false">
      <c r="B109" s="1" t="n">
        <v>109</v>
      </c>
      <c r="L109" s="4" t="n">
        <f aca="true">YEAR(TODAY())-H109</f>
        <v>2026</v>
      </c>
      <c r="N109" s="4" t="n">
        <f aca="true">O109+IF(AT109=1,480,0)+AA109+IF(K109="M",IF(AH109&gt;0,IF((TODAY()-AH109)/30.44&lt;6,2400,IF((TODAY()-AH109)/30.44&lt;12,1200,0)),0),0)+IF(AP109&gt;0,AP109,0)-R109-T109-S109-U109</f>
        <v>450</v>
      </c>
      <c r="O109" s="4" t="n">
        <f aca="true">IF(X109=1,1200,IF(YEAR(TODAY())-H109&lt;18,0,IF(YEAR(TODAY())-H109&lt;65,300,450)))</f>
        <v>450</v>
      </c>
      <c r="R109" s="4" t="n">
        <f aca="false">IF(MIN(AM109+IF(ISNUMBER(AN109),AN109,0),16000)&gt;=600,(MIN(AM109+IF(ISNUMBER(AN109),AN109,0),16000)-600)^0.8/10000*MIN(AM109+IF(ISNUMBER(AN109),AN109,0),16000),0)</f>
        <v>0</v>
      </c>
      <c r="S109" s="4" t="n">
        <f aca="false">IF(AB109=0,0,IF(AB109=1,30,IF(AB109=2,60,IF(AB109=3,120,IF(AB109=4,180,240)))))</f>
        <v>0</v>
      </c>
      <c r="T109" s="4" t="n">
        <f aca="false">IF(Y109&gt;0,Y109*600/MAX(1,Z109),0)</f>
        <v>0</v>
      </c>
      <c r="U109" s="4" t="n">
        <f aca="false">IF(AW109&gt;0,AW109*1000000*MAX(0,MIN(22,1+LOG10(AW109)))/100/12,0)</f>
        <v>0</v>
      </c>
      <c r="AA109" s="4" t="n">
        <f aca="true">IF(K109="W",IFERROR(IF(AND(AC109&gt;0,(TODAY()-AC109)&lt;36*365.25/12),2400/((TODAY()-AC109)/30.44/6+1),0),0)+IFERROR(IF(AND(AD109&gt;0,(TODAY()-AD109)&lt;36*365.25/12),2400/((TODAY()-AD109)/30.44/6+1),0),0)+IFERROR(IF(AND(AE109&gt;0,(TODAY()-AE109)&lt;36*365.25/12),2400/((TODAY()-AE109)/30.44/6+1),0),0)+IFERROR(IF(AND(AF109&gt;0,(TODAY()-AF109)&lt;36*365.25/12),2400/((TODAY()-AF109)/30.44/6+1),0),0)+IFERROR(IF(AND(AG109&gt;0,(TODAY()-AG109)&lt;36*365.25/12),2400/((TODAY()-AG109)/30.44/6+1),0),0),0)</f>
        <v>0</v>
      </c>
      <c r="AB109" s="4" t="n">
        <f aca="false">COUNTA(AC109:AG109)</f>
        <v>0</v>
      </c>
      <c r="AY109" s="1" t="n">
        <v>109</v>
      </c>
    </row>
    <row r="110" customFormat="false" ht="15" hidden="false" customHeight="true" outlineLevel="0" collapsed="false">
      <c r="B110" s="1" t="n">
        <v>110</v>
      </c>
      <c r="L110" s="4" t="n">
        <f aca="true">YEAR(TODAY())-H110</f>
        <v>2026</v>
      </c>
      <c r="N110" s="4" t="n">
        <f aca="true">O110+IF(AT110=1,480,0)+AA110+IF(K110="M",IF(AH110&gt;0,IF((TODAY()-AH110)/30.44&lt;6,2400,IF((TODAY()-AH110)/30.44&lt;12,1200,0)),0),0)+IF(AP110&gt;0,AP110,0)-R110-T110-S110-U110</f>
        <v>450</v>
      </c>
      <c r="O110" s="4" t="n">
        <f aca="true">IF(X110=1,1200,IF(YEAR(TODAY())-H110&lt;18,0,IF(YEAR(TODAY())-H110&lt;65,300,450)))</f>
        <v>450</v>
      </c>
      <c r="R110" s="4" t="n">
        <f aca="false">IF(MIN(AM110+IF(ISNUMBER(AN110),AN110,0),16000)&gt;=600,(MIN(AM110+IF(ISNUMBER(AN110),AN110,0),16000)-600)^0.8/10000*MIN(AM110+IF(ISNUMBER(AN110),AN110,0),16000),0)</f>
        <v>0</v>
      </c>
      <c r="S110" s="4" t="n">
        <f aca="false">IF(AB110=0,0,IF(AB110=1,30,IF(AB110=2,60,IF(AB110=3,120,IF(AB110=4,180,240)))))</f>
        <v>0</v>
      </c>
      <c r="T110" s="4" t="n">
        <f aca="false">IF(Y110&gt;0,Y110*600/MAX(1,Z110),0)</f>
        <v>0</v>
      </c>
      <c r="U110" s="4" t="n">
        <f aca="false">IF(AW110&gt;0,AW110*1000000*MAX(0,MIN(22,1+LOG10(AW110)))/100/12,0)</f>
        <v>0</v>
      </c>
      <c r="AA110" s="4" t="n">
        <f aca="true">IF(K110="W",IFERROR(IF(AND(AC110&gt;0,(TODAY()-AC110)&lt;36*365.25/12),2400/((TODAY()-AC110)/30.44/6+1),0),0)+IFERROR(IF(AND(AD110&gt;0,(TODAY()-AD110)&lt;36*365.25/12),2400/((TODAY()-AD110)/30.44/6+1),0),0)+IFERROR(IF(AND(AE110&gt;0,(TODAY()-AE110)&lt;36*365.25/12),2400/((TODAY()-AE110)/30.44/6+1),0),0)+IFERROR(IF(AND(AF110&gt;0,(TODAY()-AF110)&lt;36*365.25/12),2400/((TODAY()-AF110)/30.44/6+1),0),0)+IFERROR(IF(AND(AG110&gt;0,(TODAY()-AG110)&lt;36*365.25/12),2400/((TODAY()-AG110)/30.44/6+1),0),0),0)</f>
        <v>0</v>
      </c>
      <c r="AB110" s="4" t="n">
        <f aca="false">COUNTA(AC110:AG110)</f>
        <v>0</v>
      </c>
      <c r="AY110" s="1" t="n">
        <v>110</v>
      </c>
    </row>
    <row r="111" customFormat="false" ht="15" hidden="false" customHeight="true" outlineLevel="0" collapsed="false">
      <c r="B111" s="1" t="n">
        <v>111</v>
      </c>
      <c r="L111" s="4" t="n">
        <f aca="true">YEAR(TODAY())-H111</f>
        <v>2026</v>
      </c>
      <c r="N111" s="4" t="n">
        <f aca="true">O111+IF(AT111=1,480,0)+AA111+IF(K111="M",IF(AH111&gt;0,IF((TODAY()-AH111)/30.44&lt;6,2400,IF((TODAY()-AH111)/30.44&lt;12,1200,0)),0),0)+IF(AP111&gt;0,AP111,0)-R111-T111-S111-U111</f>
        <v>450</v>
      </c>
      <c r="O111" s="4" t="n">
        <f aca="true">IF(X111=1,1200,IF(YEAR(TODAY())-H111&lt;18,0,IF(YEAR(TODAY())-H111&lt;65,300,450)))</f>
        <v>450</v>
      </c>
      <c r="R111" s="4" t="n">
        <f aca="false">IF(MIN(AM111+IF(ISNUMBER(AN111),AN111,0),16000)&gt;=600,(MIN(AM111+IF(ISNUMBER(AN111),AN111,0),16000)-600)^0.8/10000*MIN(AM111+IF(ISNUMBER(AN111),AN111,0),16000),0)</f>
        <v>0</v>
      </c>
      <c r="S111" s="4" t="n">
        <f aca="false">IF(AB111=0,0,IF(AB111=1,30,IF(AB111=2,60,IF(AB111=3,120,IF(AB111=4,180,240)))))</f>
        <v>0</v>
      </c>
      <c r="T111" s="4" t="n">
        <f aca="false">IF(Y111&gt;0,Y111*600/MAX(1,Z111),0)</f>
        <v>0</v>
      </c>
      <c r="U111" s="4" t="n">
        <f aca="false">IF(AW111&gt;0,AW111*1000000*MAX(0,MIN(22,1+LOG10(AW111)))/100/12,0)</f>
        <v>0</v>
      </c>
      <c r="AA111" s="4" t="n">
        <f aca="true">IF(K111="W",IFERROR(IF(AND(AC111&gt;0,(TODAY()-AC111)&lt;36*365.25/12),2400/((TODAY()-AC111)/30.44/6+1),0),0)+IFERROR(IF(AND(AD111&gt;0,(TODAY()-AD111)&lt;36*365.25/12),2400/((TODAY()-AD111)/30.44/6+1),0),0)+IFERROR(IF(AND(AE111&gt;0,(TODAY()-AE111)&lt;36*365.25/12),2400/((TODAY()-AE111)/30.44/6+1),0),0)+IFERROR(IF(AND(AF111&gt;0,(TODAY()-AF111)&lt;36*365.25/12),2400/((TODAY()-AF111)/30.44/6+1),0),0)+IFERROR(IF(AND(AG111&gt;0,(TODAY()-AG111)&lt;36*365.25/12),2400/((TODAY()-AG111)/30.44/6+1),0),0),0)</f>
        <v>0</v>
      </c>
      <c r="AB111" s="4" t="n">
        <f aca="false">COUNTA(AC111:AG111)</f>
        <v>0</v>
      </c>
      <c r="AY111" s="1" t="n">
        <v>111</v>
      </c>
    </row>
    <row r="112" customFormat="false" ht="15" hidden="false" customHeight="true" outlineLevel="0" collapsed="false">
      <c r="B112" s="1" t="n">
        <v>112</v>
      </c>
      <c r="L112" s="4" t="n">
        <f aca="true">YEAR(TODAY())-H112</f>
        <v>2026</v>
      </c>
      <c r="N112" s="4" t="n">
        <f aca="true">O112+IF(AT112=1,480,0)+AA112+IF(K112="M",IF(AH112&gt;0,IF((TODAY()-AH112)/30.44&lt;6,2400,IF((TODAY()-AH112)/30.44&lt;12,1200,0)),0),0)+IF(AP112&gt;0,AP112,0)-R112-T112-S112-U112</f>
        <v>450</v>
      </c>
      <c r="O112" s="4" t="n">
        <f aca="true">IF(X112=1,1200,IF(YEAR(TODAY())-H112&lt;18,0,IF(YEAR(TODAY())-H112&lt;65,300,450)))</f>
        <v>450</v>
      </c>
      <c r="R112" s="4" t="n">
        <f aca="false">IF(MIN(AM112+IF(ISNUMBER(AN112),AN112,0),16000)&gt;=600,(MIN(AM112+IF(ISNUMBER(AN112),AN112,0),16000)-600)^0.8/10000*MIN(AM112+IF(ISNUMBER(AN112),AN112,0),16000),0)</f>
        <v>0</v>
      </c>
      <c r="S112" s="4" t="n">
        <f aca="false">IF(AB112=0,0,IF(AB112=1,30,IF(AB112=2,60,IF(AB112=3,120,IF(AB112=4,180,240)))))</f>
        <v>0</v>
      </c>
      <c r="T112" s="4" t="n">
        <f aca="false">IF(Y112&gt;0,Y112*600/MAX(1,Z112),0)</f>
        <v>0</v>
      </c>
      <c r="U112" s="4" t="n">
        <f aca="false">IF(AW112&gt;0,AW112*1000000*MAX(0,MIN(22,1+LOG10(AW112)))/100/12,0)</f>
        <v>0</v>
      </c>
      <c r="AA112" s="4" t="n">
        <f aca="true">IF(K112="W",IFERROR(IF(AND(AC112&gt;0,(TODAY()-AC112)&lt;36*365.25/12),2400/((TODAY()-AC112)/30.44/6+1),0),0)+IFERROR(IF(AND(AD112&gt;0,(TODAY()-AD112)&lt;36*365.25/12),2400/((TODAY()-AD112)/30.44/6+1),0),0)+IFERROR(IF(AND(AE112&gt;0,(TODAY()-AE112)&lt;36*365.25/12),2400/((TODAY()-AE112)/30.44/6+1),0),0)+IFERROR(IF(AND(AF112&gt;0,(TODAY()-AF112)&lt;36*365.25/12),2400/((TODAY()-AF112)/30.44/6+1),0),0)+IFERROR(IF(AND(AG112&gt;0,(TODAY()-AG112)&lt;36*365.25/12),2400/((TODAY()-AG112)/30.44/6+1),0),0),0)</f>
        <v>0</v>
      </c>
      <c r="AB112" s="4" t="n">
        <f aca="false">COUNTA(AC112:AG112)</f>
        <v>0</v>
      </c>
      <c r="AY112" s="1" t="n">
        <v>112</v>
      </c>
    </row>
    <row r="113" customFormat="false" ht="15" hidden="false" customHeight="true" outlineLevel="0" collapsed="false">
      <c r="B113" s="1" t="n">
        <v>113</v>
      </c>
      <c r="L113" s="4" t="n">
        <f aca="true">YEAR(TODAY())-H113</f>
        <v>2026</v>
      </c>
      <c r="N113" s="4" t="n">
        <f aca="true">O113+IF(AT113=1,480,0)+AA113+IF(K113="M",IF(AH113&gt;0,IF((TODAY()-AH113)/30.44&lt;6,2400,IF((TODAY()-AH113)/30.44&lt;12,1200,0)),0),0)+IF(AP113&gt;0,AP113,0)-R113-T113-S113-U113</f>
        <v>450</v>
      </c>
      <c r="O113" s="4" t="n">
        <f aca="true">IF(X113=1,1200,IF(YEAR(TODAY())-H113&lt;18,0,IF(YEAR(TODAY())-H113&lt;65,300,450)))</f>
        <v>450</v>
      </c>
      <c r="R113" s="4" t="n">
        <f aca="false">IF(MIN(AM113+IF(ISNUMBER(AN113),AN113,0),16000)&gt;=600,(MIN(AM113+IF(ISNUMBER(AN113),AN113,0),16000)-600)^0.8/10000*MIN(AM113+IF(ISNUMBER(AN113),AN113,0),16000),0)</f>
        <v>0</v>
      </c>
      <c r="S113" s="4" t="n">
        <f aca="false">IF(AB113=0,0,IF(AB113=1,30,IF(AB113=2,60,IF(AB113=3,120,IF(AB113=4,180,240)))))</f>
        <v>0</v>
      </c>
      <c r="T113" s="4" t="n">
        <f aca="false">IF(Y113&gt;0,Y113*600/MAX(1,Z113),0)</f>
        <v>0</v>
      </c>
      <c r="U113" s="4" t="n">
        <f aca="false">IF(AW113&gt;0,AW113*1000000*MAX(0,MIN(22,1+LOG10(AW113)))/100/12,0)</f>
        <v>0</v>
      </c>
      <c r="AA113" s="4" t="n">
        <f aca="true">IF(K113="W",IFERROR(IF(AND(AC113&gt;0,(TODAY()-AC113)&lt;36*365.25/12),2400/((TODAY()-AC113)/30.44/6+1),0),0)+IFERROR(IF(AND(AD113&gt;0,(TODAY()-AD113)&lt;36*365.25/12),2400/((TODAY()-AD113)/30.44/6+1),0),0)+IFERROR(IF(AND(AE113&gt;0,(TODAY()-AE113)&lt;36*365.25/12),2400/((TODAY()-AE113)/30.44/6+1),0),0)+IFERROR(IF(AND(AF113&gt;0,(TODAY()-AF113)&lt;36*365.25/12),2400/((TODAY()-AF113)/30.44/6+1),0),0)+IFERROR(IF(AND(AG113&gt;0,(TODAY()-AG113)&lt;36*365.25/12),2400/((TODAY()-AG113)/30.44/6+1),0),0),0)</f>
        <v>0</v>
      </c>
      <c r="AB113" s="4" t="n">
        <f aca="false">COUNTA(AC113:AG113)</f>
        <v>0</v>
      </c>
      <c r="AY113" s="1" t="n">
        <v>113</v>
      </c>
      <c r="BE113" s="1" t="s">
        <v>314</v>
      </c>
    </row>
    <row r="114" customFormat="false" ht="15" hidden="false" customHeight="true" outlineLevel="0" collapsed="false">
      <c r="B114" s="1" t="n">
        <v>114</v>
      </c>
      <c r="L114" s="4" t="n">
        <f aca="true">YEAR(TODAY())-H114</f>
        <v>2026</v>
      </c>
      <c r="N114" s="4" t="n">
        <f aca="true">O114+IF(AT114=1,480,0)+AA114+IF(K114="M",IF(AH114&gt;0,IF((TODAY()-AH114)/30.44&lt;6,2400,IF((TODAY()-AH114)/30.44&lt;12,1200,0)),0),0)+IF(AP114&gt;0,AP114,0)-R114-T114-S114-U114</f>
        <v>450</v>
      </c>
      <c r="O114" s="4" t="n">
        <f aca="true">IF(X114=1,1200,IF(YEAR(TODAY())-H114&lt;18,0,IF(YEAR(TODAY())-H114&lt;65,300,450)))</f>
        <v>450</v>
      </c>
      <c r="R114" s="4" t="n">
        <f aca="false">IF(MIN(AM114+IF(ISNUMBER(AN114),AN114,0),16000)&gt;=600,(MIN(AM114+IF(ISNUMBER(AN114),AN114,0),16000)-600)^0.8/10000*MIN(AM114+IF(ISNUMBER(AN114),AN114,0),16000),0)</f>
        <v>0</v>
      </c>
      <c r="S114" s="4" t="n">
        <f aca="false">IF(AB114=0,0,IF(AB114=1,30,IF(AB114=2,60,IF(AB114=3,120,IF(AB114=4,180,240)))))</f>
        <v>0</v>
      </c>
      <c r="T114" s="4" t="n">
        <f aca="false">IF(Y114&gt;0,Y114*600/MAX(1,Z114),0)</f>
        <v>0</v>
      </c>
      <c r="U114" s="4" t="n">
        <f aca="false">IF(AW114&gt;0,AW114*1000000*MAX(0,MIN(22,1+LOG10(AW114)))/100/12,0)</f>
        <v>0</v>
      </c>
      <c r="AA114" s="4" t="n">
        <f aca="true">IF(K114="W",IFERROR(IF(AND(AC114&gt;0,(TODAY()-AC114)&lt;36*365.25/12),2400/((TODAY()-AC114)/30.44/6+1),0),0)+IFERROR(IF(AND(AD114&gt;0,(TODAY()-AD114)&lt;36*365.25/12),2400/((TODAY()-AD114)/30.44/6+1),0),0)+IFERROR(IF(AND(AE114&gt;0,(TODAY()-AE114)&lt;36*365.25/12),2400/((TODAY()-AE114)/30.44/6+1),0),0)+IFERROR(IF(AND(AF114&gt;0,(TODAY()-AF114)&lt;36*365.25/12),2400/((TODAY()-AF114)/30.44/6+1),0),0)+IFERROR(IF(AND(AG114&gt;0,(TODAY()-AG114)&lt;36*365.25/12),2400/((TODAY()-AG114)/30.44/6+1),0),0),0)</f>
        <v>0</v>
      </c>
      <c r="AB114" s="4" t="n">
        <f aca="false">COUNTA(AC114:AG114)</f>
        <v>0</v>
      </c>
      <c r="AY114" s="1" t="n">
        <v>114</v>
      </c>
      <c r="BE114" s="1" t="s">
        <v>315</v>
      </c>
    </row>
    <row r="115" customFormat="false" ht="15" hidden="false" customHeight="true" outlineLevel="0" collapsed="false">
      <c r="B115" s="1" t="n">
        <v>115</v>
      </c>
      <c r="L115" s="4" t="n">
        <f aca="true">YEAR(TODAY())-H115</f>
        <v>2026</v>
      </c>
      <c r="N115" s="4" t="n">
        <f aca="true">O115+IF(AT115=1,480,0)+AA115+IF(K115="M",IF(AH115&gt;0,IF((TODAY()-AH115)/30.44&lt;6,2400,IF((TODAY()-AH115)/30.44&lt;12,1200,0)),0),0)+IF(AP115&gt;0,AP115,0)-R115-T115-S115-U115</f>
        <v>450</v>
      </c>
      <c r="O115" s="4" t="n">
        <f aca="true">IF(X115=1,1200,IF(YEAR(TODAY())-H115&lt;18,0,IF(YEAR(TODAY())-H115&lt;65,300,450)))</f>
        <v>450</v>
      </c>
      <c r="R115" s="4" t="n">
        <f aca="false">IF(MIN(AM115+IF(ISNUMBER(AN115),AN115,0),16000)&gt;=600,(MIN(AM115+IF(ISNUMBER(AN115),AN115,0),16000)-600)^0.8/10000*MIN(AM115+IF(ISNUMBER(AN115),AN115,0),16000),0)</f>
        <v>0</v>
      </c>
      <c r="S115" s="4" t="n">
        <f aca="false">IF(AB115=0,0,IF(AB115=1,30,IF(AB115=2,60,IF(AB115=3,120,IF(AB115=4,180,240)))))</f>
        <v>0</v>
      </c>
      <c r="T115" s="4" t="n">
        <f aca="false">IF(Y115&gt;0,Y115*600/MAX(1,Z115),0)</f>
        <v>0</v>
      </c>
      <c r="U115" s="4" t="n">
        <f aca="false">IF(AW115&gt;0,AW115*1000000*MAX(0,MIN(22,1+LOG10(AW115)))/100/12,0)</f>
        <v>0</v>
      </c>
      <c r="AA115" s="4" t="n">
        <f aca="true">IF(K115="W",IFERROR(IF(AND(AC115&gt;0,(TODAY()-AC115)&lt;36*365.25/12),2400/((TODAY()-AC115)/30.44/6+1),0),0)+IFERROR(IF(AND(AD115&gt;0,(TODAY()-AD115)&lt;36*365.25/12),2400/((TODAY()-AD115)/30.44/6+1),0),0)+IFERROR(IF(AND(AE115&gt;0,(TODAY()-AE115)&lt;36*365.25/12),2400/((TODAY()-AE115)/30.44/6+1),0),0)+IFERROR(IF(AND(AF115&gt;0,(TODAY()-AF115)&lt;36*365.25/12),2400/((TODAY()-AF115)/30.44/6+1),0),0)+IFERROR(IF(AND(AG115&gt;0,(TODAY()-AG115)&lt;36*365.25/12),2400/((TODAY()-AG115)/30.44/6+1),0),0),0)</f>
        <v>0</v>
      </c>
      <c r="AB115" s="4" t="n">
        <f aca="false">COUNTA(AC115:AG115)</f>
        <v>0</v>
      </c>
      <c r="AY115" s="1" t="n">
        <v>115</v>
      </c>
    </row>
    <row r="116" customFormat="false" ht="15" hidden="false" customHeight="true" outlineLevel="0" collapsed="false">
      <c r="B116" s="1" t="n">
        <v>116</v>
      </c>
      <c r="L116" s="4" t="n">
        <f aca="true">YEAR(TODAY())-H116</f>
        <v>2026</v>
      </c>
      <c r="N116" s="4" t="n">
        <f aca="true">O116+IF(AT116=1,480,0)+AA116+IF(K116="M",IF(AH116&gt;0,IF((TODAY()-AH116)/30.44&lt;6,2400,IF((TODAY()-AH116)/30.44&lt;12,1200,0)),0),0)+IF(AP116&gt;0,AP116,0)-R116-T116-S116-U116</f>
        <v>450</v>
      </c>
      <c r="O116" s="4" t="n">
        <f aca="true">IF(X116=1,1200,IF(YEAR(TODAY())-H116&lt;18,0,IF(YEAR(TODAY())-H116&lt;65,300,450)))</f>
        <v>450</v>
      </c>
      <c r="R116" s="4" t="n">
        <f aca="false">IF(MIN(AM116+IF(ISNUMBER(AN116),AN116,0),16000)&gt;=600,(MIN(AM116+IF(ISNUMBER(AN116),AN116,0),16000)-600)^0.8/10000*MIN(AM116+IF(ISNUMBER(AN116),AN116,0),16000),0)</f>
        <v>0</v>
      </c>
      <c r="S116" s="4" t="n">
        <f aca="false">IF(AB116=0,0,IF(AB116=1,30,IF(AB116=2,60,IF(AB116=3,120,IF(AB116=4,180,240)))))</f>
        <v>0</v>
      </c>
      <c r="T116" s="4" t="n">
        <f aca="false">IF(Y116&gt;0,Y116*600/MAX(1,Z116),0)</f>
        <v>0</v>
      </c>
      <c r="U116" s="4" t="n">
        <f aca="false">IF(AW116&gt;0,AW116*1000000*MAX(0,MIN(22,1+LOG10(AW116)))/100/12,0)</f>
        <v>0</v>
      </c>
      <c r="AA116" s="4" t="n">
        <f aca="true">IF(K116="W",IFERROR(IF(AND(AC116&gt;0,(TODAY()-AC116)&lt;36*365.25/12),2400/((TODAY()-AC116)/30.44/6+1),0),0)+IFERROR(IF(AND(AD116&gt;0,(TODAY()-AD116)&lt;36*365.25/12),2400/((TODAY()-AD116)/30.44/6+1),0),0)+IFERROR(IF(AND(AE116&gt;0,(TODAY()-AE116)&lt;36*365.25/12),2400/((TODAY()-AE116)/30.44/6+1),0),0)+IFERROR(IF(AND(AF116&gt;0,(TODAY()-AF116)&lt;36*365.25/12),2400/((TODAY()-AF116)/30.44/6+1),0),0)+IFERROR(IF(AND(AG116&gt;0,(TODAY()-AG116)&lt;36*365.25/12),2400/((TODAY()-AG116)/30.44/6+1),0),0),0)</f>
        <v>0</v>
      </c>
      <c r="AB116" s="4" t="n">
        <f aca="false">COUNTA(AC116:AG116)</f>
        <v>0</v>
      </c>
      <c r="AY116" s="1" t="n">
        <v>116</v>
      </c>
    </row>
    <row r="117" customFormat="false" ht="15" hidden="false" customHeight="true" outlineLevel="0" collapsed="false">
      <c r="B117" s="1" t="n">
        <v>117</v>
      </c>
      <c r="L117" s="4" t="n">
        <f aca="true">YEAR(TODAY())-H117</f>
        <v>2026</v>
      </c>
      <c r="N117" s="4" t="n">
        <f aca="true">O117+IF(AT117=1,480,0)+AA117+IF(K117="M",IF(AH117&gt;0,IF((TODAY()-AH117)/30.44&lt;6,2400,IF((TODAY()-AH117)/30.44&lt;12,1200,0)),0),0)+IF(AP117&gt;0,AP117,0)-R117-T117-S117-U117</f>
        <v>450</v>
      </c>
      <c r="O117" s="4" t="n">
        <f aca="true">IF(X117=1,1200,IF(YEAR(TODAY())-H117&lt;18,0,IF(YEAR(TODAY())-H117&lt;65,300,450)))</f>
        <v>450</v>
      </c>
      <c r="R117" s="4" t="n">
        <f aca="false">IF(MIN(AM117+IF(ISNUMBER(AN117),AN117,0),16000)&gt;=600,(MIN(AM117+IF(ISNUMBER(AN117),AN117,0),16000)-600)^0.8/10000*MIN(AM117+IF(ISNUMBER(AN117),AN117,0),16000),0)</f>
        <v>0</v>
      </c>
      <c r="S117" s="4" t="n">
        <f aca="false">IF(AB117=0,0,IF(AB117=1,30,IF(AB117=2,60,IF(AB117=3,120,IF(AB117=4,180,240)))))</f>
        <v>0</v>
      </c>
      <c r="T117" s="4" t="n">
        <f aca="false">IF(Y117&gt;0,Y117*600/MAX(1,Z117),0)</f>
        <v>0</v>
      </c>
      <c r="U117" s="4" t="n">
        <f aca="false">IF(AW117&gt;0,AW117*1000000*MAX(0,MIN(22,1+LOG10(AW117)))/100/12,0)</f>
        <v>0</v>
      </c>
      <c r="AA117" s="4" t="n">
        <f aca="true">IF(K117="W",IFERROR(IF(AND(AC117&gt;0,(TODAY()-AC117)&lt;36*365.25/12),2400/((TODAY()-AC117)/30.44/6+1),0),0)+IFERROR(IF(AND(AD117&gt;0,(TODAY()-AD117)&lt;36*365.25/12),2400/((TODAY()-AD117)/30.44/6+1),0),0)+IFERROR(IF(AND(AE117&gt;0,(TODAY()-AE117)&lt;36*365.25/12),2400/((TODAY()-AE117)/30.44/6+1),0),0)+IFERROR(IF(AND(AF117&gt;0,(TODAY()-AF117)&lt;36*365.25/12),2400/((TODAY()-AF117)/30.44/6+1),0),0)+IFERROR(IF(AND(AG117&gt;0,(TODAY()-AG117)&lt;36*365.25/12),2400/((TODAY()-AG117)/30.44/6+1),0),0),0)</f>
        <v>0</v>
      </c>
      <c r="AB117" s="4" t="n">
        <f aca="false">COUNTA(AC117:AG117)</f>
        <v>0</v>
      </c>
      <c r="AY117" s="1" t="n">
        <v>117</v>
      </c>
    </row>
    <row r="118" customFormat="false" ht="15" hidden="false" customHeight="true" outlineLevel="0" collapsed="false">
      <c r="B118" s="1" t="n">
        <v>118</v>
      </c>
      <c r="L118" s="4" t="n">
        <f aca="true">YEAR(TODAY())-H118</f>
        <v>2026</v>
      </c>
      <c r="N118" s="4" t="n">
        <f aca="true">O118+IF(AT118=1,480,0)+AA118+IF(K118="M",IF(AH118&gt;0,IF((TODAY()-AH118)/30.44&lt;6,2400,IF((TODAY()-AH118)/30.44&lt;12,1200,0)),0),0)+IF(AP118&gt;0,AP118,0)-R118-T118-S118-U118</f>
        <v>450</v>
      </c>
      <c r="O118" s="4" t="n">
        <f aca="true">IF(X118=1,1200,IF(YEAR(TODAY())-H118&lt;18,0,IF(YEAR(TODAY())-H118&lt;65,300,450)))</f>
        <v>450</v>
      </c>
      <c r="R118" s="4" t="n">
        <f aca="false">IF(MIN(AM118+IF(ISNUMBER(AN118),AN118,0),16000)&gt;=600,(MIN(AM118+IF(ISNUMBER(AN118),AN118,0),16000)-600)^0.8/10000*MIN(AM118+IF(ISNUMBER(AN118),AN118,0),16000),0)</f>
        <v>0</v>
      </c>
      <c r="S118" s="4" t="n">
        <f aca="false">IF(AB118=0,0,IF(AB118=1,30,IF(AB118=2,60,IF(AB118=3,120,IF(AB118=4,180,240)))))</f>
        <v>0</v>
      </c>
      <c r="T118" s="4" t="n">
        <f aca="false">IF(Y118&gt;0,Y118*600/MAX(1,Z118),0)</f>
        <v>0</v>
      </c>
      <c r="U118" s="4" t="n">
        <f aca="false">IF(AW118&gt;0,AW118*1000000*MAX(0,MIN(22,1+LOG10(AW118)))/100/12,0)</f>
        <v>0</v>
      </c>
      <c r="AA118" s="4" t="n">
        <f aca="true">IF(K118="W",IFERROR(IF(AND(AC118&gt;0,(TODAY()-AC118)&lt;36*365.25/12),2400/((TODAY()-AC118)/30.44/6+1),0),0)+IFERROR(IF(AND(AD118&gt;0,(TODAY()-AD118)&lt;36*365.25/12),2400/((TODAY()-AD118)/30.44/6+1),0),0)+IFERROR(IF(AND(AE118&gt;0,(TODAY()-AE118)&lt;36*365.25/12),2400/((TODAY()-AE118)/30.44/6+1),0),0)+IFERROR(IF(AND(AF118&gt;0,(TODAY()-AF118)&lt;36*365.25/12),2400/((TODAY()-AF118)/30.44/6+1),0),0)+IFERROR(IF(AND(AG118&gt;0,(TODAY()-AG118)&lt;36*365.25/12),2400/((TODAY()-AG118)/30.44/6+1),0),0),0)</f>
        <v>0</v>
      </c>
      <c r="AB118" s="4" t="n">
        <f aca="false">COUNTA(AC118:AG118)</f>
        <v>0</v>
      </c>
      <c r="AY118" s="1" t="n">
        <v>118</v>
      </c>
    </row>
    <row r="119" customFormat="false" ht="15" hidden="false" customHeight="true" outlineLevel="0" collapsed="false">
      <c r="B119" s="1" t="n">
        <v>119</v>
      </c>
      <c r="L119" s="4" t="n">
        <f aca="true">YEAR(TODAY())-H119</f>
        <v>2026</v>
      </c>
      <c r="N119" s="4" t="n">
        <f aca="true">O119+IF(AT119=1,480,0)+AA119+IF(K119="M",IF(AH119&gt;0,IF((TODAY()-AH119)/30.44&lt;6,2400,IF((TODAY()-AH119)/30.44&lt;12,1200,0)),0),0)+IF(AP119&gt;0,AP119,0)-R119-T119-S119-U119</f>
        <v>450</v>
      </c>
      <c r="O119" s="4" t="n">
        <f aca="true">IF(X119=1,1200,IF(YEAR(TODAY())-H119&lt;18,0,IF(YEAR(TODAY())-H119&lt;65,300,450)))</f>
        <v>450</v>
      </c>
      <c r="R119" s="4" t="n">
        <f aca="false">IF(MIN(AM119+IF(ISNUMBER(AN119),AN119,0),16000)&gt;=600,(MIN(AM119+IF(ISNUMBER(AN119),AN119,0),16000)-600)^0.8/10000*MIN(AM119+IF(ISNUMBER(AN119),AN119,0),16000),0)</f>
        <v>0</v>
      </c>
      <c r="S119" s="4" t="n">
        <f aca="false">IF(AB119=0,0,IF(AB119=1,30,IF(AB119=2,60,IF(AB119=3,120,IF(AB119=4,180,240)))))</f>
        <v>0</v>
      </c>
      <c r="T119" s="4" t="n">
        <f aca="false">IF(Y119&gt;0,Y119*600/MAX(1,Z119),0)</f>
        <v>0</v>
      </c>
      <c r="U119" s="4" t="n">
        <f aca="false">IF(AW119&gt;0,AW119*1000000*MAX(0,MIN(22,1+LOG10(AW119)))/100/12,0)</f>
        <v>0</v>
      </c>
      <c r="AA119" s="4" t="n">
        <f aca="true">IF(K119="W",IFERROR(IF(AND(AC119&gt;0,(TODAY()-AC119)&lt;36*365.25/12),2400/((TODAY()-AC119)/30.44/6+1),0),0)+IFERROR(IF(AND(AD119&gt;0,(TODAY()-AD119)&lt;36*365.25/12),2400/((TODAY()-AD119)/30.44/6+1),0),0)+IFERROR(IF(AND(AE119&gt;0,(TODAY()-AE119)&lt;36*365.25/12),2400/((TODAY()-AE119)/30.44/6+1),0),0)+IFERROR(IF(AND(AF119&gt;0,(TODAY()-AF119)&lt;36*365.25/12),2400/((TODAY()-AF119)/30.44/6+1),0),0)+IFERROR(IF(AND(AG119&gt;0,(TODAY()-AG119)&lt;36*365.25/12),2400/((TODAY()-AG119)/30.44/6+1),0),0),0)</f>
        <v>0</v>
      </c>
      <c r="AB119" s="4" t="n">
        <f aca="false">COUNTA(AC119:AG119)</f>
        <v>0</v>
      </c>
      <c r="AY119" s="1" t="n">
        <v>119</v>
      </c>
    </row>
    <row r="120" customFormat="false" ht="15" hidden="false" customHeight="true" outlineLevel="0" collapsed="false">
      <c r="B120" s="1" t="n">
        <v>120</v>
      </c>
      <c r="L120" s="4" t="n">
        <f aca="true">YEAR(TODAY())-H120</f>
        <v>2026</v>
      </c>
      <c r="N120" s="4" t="n">
        <f aca="true">O120+IF(AT120=1,480,0)+AA120+IF(K120="M",IF(AH120&gt;0,IF((TODAY()-AH120)/30.44&lt;6,2400,IF((TODAY()-AH120)/30.44&lt;12,1200,0)),0),0)+IF(AP120&gt;0,AP120,0)-R120-T120-S120-U120</f>
        <v>450</v>
      </c>
      <c r="O120" s="4" t="n">
        <f aca="true">IF(X120=1,1200,IF(YEAR(TODAY())-H120&lt;18,0,IF(YEAR(TODAY())-H120&lt;65,300,450)))</f>
        <v>450</v>
      </c>
      <c r="R120" s="4" t="n">
        <f aca="false">IF(MIN(AM120+IF(ISNUMBER(AN120),AN120,0),16000)&gt;=600,(MIN(AM120+IF(ISNUMBER(AN120),AN120,0),16000)-600)^0.8/10000*MIN(AM120+IF(ISNUMBER(AN120),AN120,0),16000),0)</f>
        <v>0</v>
      </c>
      <c r="S120" s="4" t="n">
        <f aca="false">IF(AB120=0,0,IF(AB120=1,30,IF(AB120=2,60,IF(AB120=3,120,IF(AB120=4,180,240)))))</f>
        <v>0</v>
      </c>
      <c r="T120" s="4" t="n">
        <f aca="false">IF(Y120&gt;0,Y120*600/MAX(1,Z120),0)</f>
        <v>0</v>
      </c>
      <c r="U120" s="4" t="n">
        <f aca="false">IF(AW120&gt;0,AW120*1000000*MAX(0,MIN(22,1+LOG10(AW120)))/100/12,0)</f>
        <v>0</v>
      </c>
      <c r="AA120" s="4" t="n">
        <f aca="true">IF(K120="W",IFERROR(IF(AND(AC120&gt;0,(TODAY()-AC120)&lt;36*365.25/12),2400/((TODAY()-AC120)/30.44/6+1),0),0)+IFERROR(IF(AND(AD120&gt;0,(TODAY()-AD120)&lt;36*365.25/12),2400/((TODAY()-AD120)/30.44/6+1),0),0)+IFERROR(IF(AND(AE120&gt;0,(TODAY()-AE120)&lt;36*365.25/12),2400/((TODAY()-AE120)/30.44/6+1),0),0)+IFERROR(IF(AND(AF120&gt;0,(TODAY()-AF120)&lt;36*365.25/12),2400/((TODAY()-AF120)/30.44/6+1),0),0)+IFERROR(IF(AND(AG120&gt;0,(TODAY()-AG120)&lt;36*365.25/12),2400/((TODAY()-AG120)/30.44/6+1),0),0),0)</f>
        <v>0</v>
      </c>
      <c r="AB120" s="4" t="n">
        <f aca="false">COUNTA(AC120:AG120)</f>
        <v>0</v>
      </c>
      <c r="AY120" s="1" t="n">
        <v>120</v>
      </c>
    </row>
    <row r="121" customFormat="false" ht="15" hidden="false" customHeight="true" outlineLevel="0" collapsed="false">
      <c r="B121" s="1" t="n">
        <v>121</v>
      </c>
      <c r="L121" s="4" t="n">
        <f aca="true">YEAR(TODAY())-H121</f>
        <v>2026</v>
      </c>
      <c r="N121" s="4" t="n">
        <f aca="true">O121+IF(AT121=1,480,0)+AA121+IF(K121="M",IF(AH121&gt;0,IF((TODAY()-AH121)/30.44&lt;6,2400,IF((TODAY()-AH121)/30.44&lt;12,1200,0)),0),0)+IF(AP121&gt;0,AP121,0)-R121-T121-S121-U121</f>
        <v>450</v>
      </c>
      <c r="O121" s="4" t="n">
        <f aca="true">IF(X121=1,1200,IF(YEAR(TODAY())-H121&lt;18,0,IF(YEAR(TODAY())-H121&lt;65,300,450)))</f>
        <v>450</v>
      </c>
      <c r="R121" s="4" t="n">
        <f aca="false">IF(MIN(AM121+IF(ISNUMBER(AN121),AN121,0),16000)&gt;=600,(MIN(AM121+IF(ISNUMBER(AN121),AN121,0),16000)-600)^0.8/10000*MIN(AM121+IF(ISNUMBER(AN121),AN121,0),16000),0)</f>
        <v>0</v>
      </c>
      <c r="S121" s="4" t="n">
        <f aca="false">IF(AB121=0,0,IF(AB121=1,30,IF(AB121=2,60,IF(AB121=3,120,IF(AB121=4,180,240)))))</f>
        <v>0</v>
      </c>
      <c r="T121" s="4" t="n">
        <f aca="false">IF(Y121&gt;0,Y121*600/MAX(1,Z121),0)</f>
        <v>0</v>
      </c>
      <c r="U121" s="4" t="n">
        <f aca="false">IF(AW121&gt;0,AW121*1000000*MAX(0,MIN(22,1+LOG10(AW121)))/100/12,0)</f>
        <v>0</v>
      </c>
      <c r="AA121" s="4" t="n">
        <f aca="true">IF(K121="W",IFERROR(IF(AND(AC121&gt;0,(TODAY()-AC121)&lt;36*365.25/12),2400/((TODAY()-AC121)/30.44/6+1),0),0)+IFERROR(IF(AND(AD121&gt;0,(TODAY()-AD121)&lt;36*365.25/12),2400/((TODAY()-AD121)/30.44/6+1),0),0)+IFERROR(IF(AND(AE121&gt;0,(TODAY()-AE121)&lt;36*365.25/12),2400/((TODAY()-AE121)/30.44/6+1),0),0)+IFERROR(IF(AND(AF121&gt;0,(TODAY()-AF121)&lt;36*365.25/12),2400/((TODAY()-AF121)/30.44/6+1),0),0)+IFERROR(IF(AND(AG121&gt;0,(TODAY()-AG121)&lt;36*365.25/12),2400/((TODAY()-AG121)/30.44/6+1),0),0),0)</f>
        <v>0</v>
      </c>
      <c r="AB121" s="4" t="n">
        <f aca="false">COUNTA(AC121:AG121)</f>
        <v>0</v>
      </c>
      <c r="AY121" s="1" t="n">
        <v>121</v>
      </c>
    </row>
    <row r="122" customFormat="false" ht="15" hidden="false" customHeight="true" outlineLevel="0" collapsed="false">
      <c r="B122" s="1" t="n">
        <v>122</v>
      </c>
      <c r="L122" s="4" t="n">
        <f aca="true">YEAR(TODAY())-H122</f>
        <v>2026</v>
      </c>
      <c r="N122" s="4" t="n">
        <f aca="true">O122+IF(AT122=1,480,0)+AA122+IF(K122="M",IF(AH122&gt;0,IF((TODAY()-AH122)/30.44&lt;6,2400,IF((TODAY()-AH122)/30.44&lt;12,1200,0)),0),0)+IF(AP122&gt;0,AP122,0)-R122-T122-S122-U122</f>
        <v>450</v>
      </c>
      <c r="O122" s="4" t="n">
        <f aca="true">IF(X122=1,1200,IF(YEAR(TODAY())-H122&lt;18,0,IF(YEAR(TODAY())-H122&lt;65,300,450)))</f>
        <v>450</v>
      </c>
      <c r="R122" s="4" t="n">
        <f aca="false">IF(MIN(AM122+IF(ISNUMBER(AN122),AN122,0),16000)&gt;=600,(MIN(AM122+IF(ISNUMBER(AN122),AN122,0),16000)-600)^0.8/10000*MIN(AM122+IF(ISNUMBER(AN122),AN122,0),16000),0)</f>
        <v>0</v>
      </c>
      <c r="S122" s="4" t="n">
        <f aca="false">IF(AB122=0,0,IF(AB122=1,30,IF(AB122=2,60,IF(AB122=3,120,IF(AB122=4,180,240)))))</f>
        <v>0</v>
      </c>
      <c r="T122" s="4" t="n">
        <f aca="false">IF(Y122&gt;0,Y122*600/MAX(1,Z122),0)</f>
        <v>0</v>
      </c>
      <c r="U122" s="4" t="n">
        <f aca="false">IF(AW122&gt;0,AW122*1000000*MAX(0,MIN(22,1+LOG10(AW122)))/100/12,0)</f>
        <v>0</v>
      </c>
      <c r="AA122" s="4" t="n">
        <f aca="true">IF(K122="W",IFERROR(IF(AND(AC122&gt;0,(TODAY()-AC122)&lt;36*365.25/12),2400/((TODAY()-AC122)/30.44/6+1),0),0)+IFERROR(IF(AND(AD122&gt;0,(TODAY()-AD122)&lt;36*365.25/12),2400/((TODAY()-AD122)/30.44/6+1),0),0)+IFERROR(IF(AND(AE122&gt;0,(TODAY()-AE122)&lt;36*365.25/12),2400/((TODAY()-AE122)/30.44/6+1),0),0)+IFERROR(IF(AND(AF122&gt;0,(TODAY()-AF122)&lt;36*365.25/12),2400/((TODAY()-AF122)/30.44/6+1),0),0)+IFERROR(IF(AND(AG122&gt;0,(TODAY()-AG122)&lt;36*365.25/12),2400/((TODAY()-AG122)/30.44/6+1),0),0),0)</f>
        <v>0</v>
      </c>
      <c r="AB122" s="4" t="n">
        <f aca="false">COUNTA(AC122:AG122)</f>
        <v>0</v>
      </c>
      <c r="AY122" s="1" t="n">
        <v>122</v>
      </c>
    </row>
    <row r="123" customFormat="false" ht="15" hidden="false" customHeight="true" outlineLevel="0" collapsed="false">
      <c r="B123" s="1" t="n">
        <v>123</v>
      </c>
      <c r="L123" s="4" t="n">
        <f aca="true">YEAR(TODAY())-H123</f>
        <v>2026</v>
      </c>
      <c r="N123" s="4" t="n">
        <f aca="true">O123+IF(AT123=1,480,0)+AA123+IF(K123="M",IF(AH123&gt;0,IF((TODAY()-AH123)/30.44&lt;6,2400,IF((TODAY()-AH123)/30.44&lt;12,1200,0)),0),0)+IF(AP123&gt;0,AP123,0)-R123-T123-S123-U123</f>
        <v>450</v>
      </c>
      <c r="O123" s="4" t="n">
        <f aca="true">IF(X123=1,1200,IF(YEAR(TODAY())-H123&lt;18,0,IF(YEAR(TODAY())-H123&lt;65,300,450)))</f>
        <v>450</v>
      </c>
      <c r="R123" s="4" t="n">
        <f aca="false">IF(MIN(AM123+IF(ISNUMBER(AN123),AN123,0),16000)&gt;=600,(MIN(AM123+IF(ISNUMBER(AN123),AN123,0),16000)-600)^0.8/10000*MIN(AM123+IF(ISNUMBER(AN123),AN123,0),16000),0)</f>
        <v>0</v>
      </c>
      <c r="S123" s="4" t="n">
        <f aca="false">IF(AB123=0,0,IF(AB123=1,30,IF(AB123=2,60,IF(AB123=3,120,IF(AB123=4,180,240)))))</f>
        <v>0</v>
      </c>
      <c r="T123" s="4" t="n">
        <f aca="false">IF(Y123&gt;0,Y123*600/MAX(1,Z123),0)</f>
        <v>0</v>
      </c>
      <c r="U123" s="4" t="n">
        <f aca="false">IF(AW123&gt;0,AW123*1000000*MAX(0,MIN(22,1+LOG10(AW123)))/100/12,0)</f>
        <v>0</v>
      </c>
      <c r="AA123" s="4" t="n">
        <f aca="true">IF(K123="W",IFERROR(IF(AND(AC123&gt;0,(TODAY()-AC123)&lt;36*365.25/12),2400/((TODAY()-AC123)/30.44/6+1),0),0)+IFERROR(IF(AND(AD123&gt;0,(TODAY()-AD123)&lt;36*365.25/12),2400/((TODAY()-AD123)/30.44/6+1),0),0)+IFERROR(IF(AND(AE123&gt;0,(TODAY()-AE123)&lt;36*365.25/12),2400/((TODAY()-AE123)/30.44/6+1),0),0)+IFERROR(IF(AND(AF123&gt;0,(TODAY()-AF123)&lt;36*365.25/12),2400/((TODAY()-AF123)/30.44/6+1),0),0)+IFERROR(IF(AND(AG123&gt;0,(TODAY()-AG123)&lt;36*365.25/12),2400/((TODAY()-AG123)/30.44/6+1),0),0),0)</f>
        <v>0</v>
      </c>
      <c r="AB123" s="4" t="n">
        <f aca="false">COUNTA(AC123:AG123)</f>
        <v>0</v>
      </c>
      <c r="AY123" s="1" t="n">
        <v>123</v>
      </c>
    </row>
    <row r="124" customFormat="false" ht="15" hidden="false" customHeight="true" outlineLevel="0" collapsed="false">
      <c r="B124" s="1" t="n">
        <v>124</v>
      </c>
      <c r="L124" s="4" t="n">
        <f aca="true">YEAR(TODAY())-H124</f>
        <v>2026</v>
      </c>
      <c r="N124" s="4" t="n">
        <f aca="true">O124+IF(AT124=1,480,0)+AA124+IF(K124="M",IF(AH124&gt;0,IF((TODAY()-AH124)/30.44&lt;6,2400,IF((TODAY()-AH124)/30.44&lt;12,1200,0)),0),0)+IF(AP124&gt;0,AP124,0)-R124-T124-S124-U124</f>
        <v>450</v>
      </c>
      <c r="O124" s="4" t="n">
        <f aca="true">IF(X124=1,1200,IF(YEAR(TODAY())-H124&lt;18,0,IF(YEAR(TODAY())-H124&lt;65,300,450)))</f>
        <v>450</v>
      </c>
      <c r="R124" s="4" t="n">
        <f aca="false">IF(MIN(AM124+IF(ISNUMBER(AN124),AN124,0),16000)&gt;=600,(MIN(AM124+IF(ISNUMBER(AN124),AN124,0),16000)-600)^0.8/10000*MIN(AM124+IF(ISNUMBER(AN124),AN124,0),16000),0)</f>
        <v>0</v>
      </c>
      <c r="S124" s="4" t="n">
        <f aca="false">IF(AB124=0,0,IF(AB124=1,30,IF(AB124=2,60,IF(AB124=3,120,IF(AB124=4,180,240)))))</f>
        <v>0</v>
      </c>
      <c r="T124" s="4" t="n">
        <f aca="false">IF(Y124&gt;0,Y124*600/MAX(1,Z124),0)</f>
        <v>0</v>
      </c>
      <c r="U124" s="4" t="n">
        <f aca="false">IF(AW124&gt;0,AW124*1000000*MAX(0,MIN(22,1+LOG10(AW124)))/100/12,0)</f>
        <v>0</v>
      </c>
      <c r="AA124" s="4" t="n">
        <f aca="true">IF(K124="W",IFERROR(IF(AND(AC124&gt;0,(TODAY()-AC124)&lt;36*365.25/12),2400/((TODAY()-AC124)/30.44/6+1),0),0)+IFERROR(IF(AND(AD124&gt;0,(TODAY()-AD124)&lt;36*365.25/12),2400/((TODAY()-AD124)/30.44/6+1),0),0)+IFERROR(IF(AND(AE124&gt;0,(TODAY()-AE124)&lt;36*365.25/12),2400/((TODAY()-AE124)/30.44/6+1),0),0)+IFERROR(IF(AND(AF124&gt;0,(TODAY()-AF124)&lt;36*365.25/12),2400/((TODAY()-AF124)/30.44/6+1),0),0)+IFERROR(IF(AND(AG124&gt;0,(TODAY()-AG124)&lt;36*365.25/12),2400/((TODAY()-AG124)/30.44/6+1),0),0),0)</f>
        <v>0</v>
      </c>
      <c r="AB124" s="4" t="n">
        <f aca="false">COUNTA(AC124:AG124)</f>
        <v>0</v>
      </c>
      <c r="AY124" s="1" t="n">
        <v>124</v>
      </c>
    </row>
    <row r="125" customFormat="false" ht="15" hidden="false" customHeight="true" outlineLevel="0" collapsed="false">
      <c r="B125" s="1" t="n">
        <v>125</v>
      </c>
      <c r="L125" s="4" t="n">
        <f aca="true">YEAR(TODAY())-H125</f>
        <v>2026</v>
      </c>
      <c r="N125" s="4" t="n">
        <f aca="true">O125+IF(AT125=1,480,0)+AA125+IF(K125="M",IF(AH125&gt;0,IF((TODAY()-AH125)/30.44&lt;6,2400,IF((TODAY()-AH125)/30.44&lt;12,1200,0)),0),0)+IF(AP125&gt;0,AP125,0)-R125-T125-S125-U125</f>
        <v>450</v>
      </c>
      <c r="O125" s="4" t="n">
        <f aca="true">IF(X125=1,1200,IF(YEAR(TODAY())-H125&lt;18,0,IF(YEAR(TODAY())-H125&lt;65,300,450)))</f>
        <v>450</v>
      </c>
      <c r="R125" s="4" t="n">
        <f aca="false">IF(MIN(AM125+IF(ISNUMBER(AN125),AN125,0),16000)&gt;=600,(MIN(AM125+IF(ISNUMBER(AN125),AN125,0),16000)-600)^0.8/10000*MIN(AM125+IF(ISNUMBER(AN125),AN125,0),16000),0)</f>
        <v>0</v>
      </c>
      <c r="S125" s="4" t="n">
        <f aca="false">IF(AB125=0,0,IF(AB125=1,30,IF(AB125=2,60,IF(AB125=3,120,IF(AB125=4,180,240)))))</f>
        <v>0</v>
      </c>
      <c r="T125" s="4" t="n">
        <f aca="false">IF(Y125&gt;0,Y125*600/MAX(1,Z125),0)</f>
        <v>0</v>
      </c>
      <c r="U125" s="4" t="n">
        <f aca="false">IF(AW125&gt;0,AW125*1000000*MAX(0,MIN(22,1+LOG10(AW125)))/100/12,0)</f>
        <v>0</v>
      </c>
      <c r="AA125" s="4" t="n">
        <f aca="true">IF(K125="W",IFERROR(IF(AND(AC125&gt;0,(TODAY()-AC125)&lt;36*365.25/12),2400/((TODAY()-AC125)/30.44/6+1),0),0)+IFERROR(IF(AND(AD125&gt;0,(TODAY()-AD125)&lt;36*365.25/12),2400/((TODAY()-AD125)/30.44/6+1),0),0)+IFERROR(IF(AND(AE125&gt;0,(TODAY()-AE125)&lt;36*365.25/12),2400/((TODAY()-AE125)/30.44/6+1),0),0)+IFERROR(IF(AND(AF125&gt;0,(TODAY()-AF125)&lt;36*365.25/12),2400/((TODAY()-AF125)/30.44/6+1),0),0)+IFERROR(IF(AND(AG125&gt;0,(TODAY()-AG125)&lt;36*365.25/12),2400/((TODAY()-AG125)/30.44/6+1),0),0),0)</f>
        <v>0</v>
      </c>
      <c r="AB125" s="4" t="n">
        <f aca="false">COUNTA(AC125:AG125)</f>
        <v>0</v>
      </c>
      <c r="AY125" s="1" t="n">
        <v>125</v>
      </c>
    </row>
    <row r="126" customFormat="false" ht="15" hidden="false" customHeight="true" outlineLevel="0" collapsed="false">
      <c r="B126" s="1" t="n">
        <v>126</v>
      </c>
      <c r="L126" s="4" t="n">
        <f aca="true">YEAR(TODAY())-H126</f>
        <v>2026</v>
      </c>
      <c r="N126" s="4" t="n">
        <f aca="true">O126+IF(AT126=1,480,0)+AA126+IF(K126="M",IF(AH126&gt;0,IF((TODAY()-AH126)/30.44&lt;6,2400,IF((TODAY()-AH126)/30.44&lt;12,1200,0)),0),0)+IF(AP126&gt;0,AP126,0)-R126-T126-S126-U126</f>
        <v>450</v>
      </c>
      <c r="O126" s="4" t="n">
        <f aca="true">IF(X126=1,1200,IF(YEAR(TODAY())-H126&lt;18,0,IF(YEAR(TODAY())-H126&lt;65,300,450)))</f>
        <v>450</v>
      </c>
      <c r="R126" s="4" t="n">
        <f aca="false">IF(MIN(AM126+IF(ISNUMBER(AN126),AN126,0),16000)&gt;=600,(MIN(AM126+IF(ISNUMBER(AN126),AN126,0),16000)-600)^0.8/10000*MIN(AM126+IF(ISNUMBER(AN126),AN126,0),16000),0)</f>
        <v>0</v>
      </c>
      <c r="S126" s="4" t="n">
        <f aca="false">IF(AB126=0,0,IF(AB126=1,30,IF(AB126=2,60,IF(AB126=3,120,IF(AB126=4,180,240)))))</f>
        <v>0</v>
      </c>
      <c r="T126" s="4" t="n">
        <f aca="false">IF(Y126&gt;0,Y126*600/MAX(1,Z126),0)</f>
        <v>0</v>
      </c>
      <c r="U126" s="4" t="n">
        <f aca="false">IF(AW126&gt;0,AW126*1000000*MAX(0,MIN(22,1+LOG10(AW126)))/100/12,0)</f>
        <v>0</v>
      </c>
      <c r="AA126" s="4" t="n">
        <f aca="true">IF(K126="W",IFERROR(IF(AND(AC126&gt;0,(TODAY()-AC126)&lt;36*365.25/12),2400/((TODAY()-AC126)/30.44/6+1),0),0)+IFERROR(IF(AND(AD126&gt;0,(TODAY()-AD126)&lt;36*365.25/12),2400/((TODAY()-AD126)/30.44/6+1),0),0)+IFERROR(IF(AND(AE126&gt;0,(TODAY()-AE126)&lt;36*365.25/12),2400/((TODAY()-AE126)/30.44/6+1),0),0)+IFERROR(IF(AND(AF126&gt;0,(TODAY()-AF126)&lt;36*365.25/12),2400/((TODAY()-AF126)/30.44/6+1),0),0)+IFERROR(IF(AND(AG126&gt;0,(TODAY()-AG126)&lt;36*365.25/12),2400/((TODAY()-AG126)/30.44/6+1),0),0),0)</f>
        <v>0</v>
      </c>
      <c r="AB126" s="4" t="n">
        <f aca="false">COUNTA(AC126:AG126)</f>
        <v>0</v>
      </c>
      <c r="AY126" s="1" t="n">
        <v>126</v>
      </c>
    </row>
    <row r="127" customFormat="false" ht="15" hidden="false" customHeight="true" outlineLevel="0" collapsed="false">
      <c r="B127" s="1" t="n">
        <v>127</v>
      </c>
      <c r="L127" s="4" t="n">
        <f aca="true">YEAR(TODAY())-H127</f>
        <v>2026</v>
      </c>
      <c r="N127" s="4" t="n">
        <f aca="true">O127+IF(AT127=1,480,0)+AA127+IF(K127="M",IF(AH127&gt;0,IF((TODAY()-AH127)/30.44&lt;6,2400,IF((TODAY()-AH127)/30.44&lt;12,1200,0)),0),0)+IF(AP127&gt;0,AP127,0)-R127-T127-S127-U127</f>
        <v>450</v>
      </c>
      <c r="O127" s="4" t="n">
        <f aca="true">IF(X127=1,1200,IF(YEAR(TODAY())-H127&lt;18,0,IF(YEAR(TODAY())-H127&lt;65,300,450)))</f>
        <v>450</v>
      </c>
      <c r="R127" s="4" t="n">
        <f aca="false">IF(MIN(AM127+IF(ISNUMBER(AN127),AN127,0),16000)&gt;=600,(MIN(AM127+IF(ISNUMBER(AN127),AN127,0),16000)-600)^0.8/10000*MIN(AM127+IF(ISNUMBER(AN127),AN127,0),16000),0)</f>
        <v>0</v>
      </c>
      <c r="S127" s="4" t="n">
        <f aca="false">IF(AB127=0,0,IF(AB127=1,30,IF(AB127=2,60,IF(AB127=3,120,IF(AB127=4,180,240)))))</f>
        <v>0</v>
      </c>
      <c r="T127" s="4" t="n">
        <f aca="false">IF(Y127&gt;0,Y127*600/MAX(1,Z127),0)</f>
        <v>0</v>
      </c>
      <c r="U127" s="4" t="n">
        <f aca="false">IF(AW127&gt;0,AW127*1000000*MAX(0,MIN(22,1+LOG10(AW127)))/100/12,0)</f>
        <v>0</v>
      </c>
      <c r="AA127" s="4" t="n">
        <f aca="true">IF(K127="W",IFERROR(IF(AND(AC127&gt;0,(TODAY()-AC127)&lt;36*365.25/12),2400/((TODAY()-AC127)/30.44/6+1),0),0)+IFERROR(IF(AND(AD127&gt;0,(TODAY()-AD127)&lt;36*365.25/12),2400/((TODAY()-AD127)/30.44/6+1),0),0)+IFERROR(IF(AND(AE127&gt;0,(TODAY()-AE127)&lt;36*365.25/12),2400/((TODAY()-AE127)/30.44/6+1),0),0)+IFERROR(IF(AND(AF127&gt;0,(TODAY()-AF127)&lt;36*365.25/12),2400/((TODAY()-AF127)/30.44/6+1),0),0)+IFERROR(IF(AND(AG127&gt;0,(TODAY()-AG127)&lt;36*365.25/12),2400/((TODAY()-AG127)/30.44/6+1),0),0),0)</f>
        <v>0</v>
      </c>
      <c r="AB127" s="4" t="n">
        <f aca="false">COUNTA(AC127:AG127)</f>
        <v>0</v>
      </c>
      <c r="AY127" s="1" t="n">
        <v>127</v>
      </c>
    </row>
    <row r="128" customFormat="false" ht="15" hidden="false" customHeight="true" outlineLevel="0" collapsed="false">
      <c r="B128" s="1" t="n">
        <v>128</v>
      </c>
      <c r="L128" s="4" t="n">
        <f aca="true">YEAR(TODAY())-H128</f>
        <v>2026</v>
      </c>
      <c r="N128" s="4" t="n">
        <f aca="true">O128+IF(AT128=1,480,0)+AA128+IF(K128="M",IF(AH128&gt;0,IF((TODAY()-AH128)/30.44&lt;6,2400,IF((TODAY()-AH128)/30.44&lt;12,1200,0)),0),0)+IF(AP128&gt;0,AP128,0)-R128-T128-S128-U128</f>
        <v>450</v>
      </c>
      <c r="O128" s="4" t="n">
        <f aca="true">IF(X128=1,1200,IF(YEAR(TODAY())-H128&lt;18,0,IF(YEAR(TODAY())-H128&lt;65,300,450)))</f>
        <v>450</v>
      </c>
      <c r="R128" s="4" t="n">
        <f aca="false">IF(MIN(AM128+IF(ISNUMBER(AN128),AN128,0),16000)&gt;=600,(MIN(AM128+IF(ISNUMBER(AN128),AN128,0),16000)-600)^0.8/10000*MIN(AM128+IF(ISNUMBER(AN128),AN128,0),16000),0)</f>
        <v>0</v>
      </c>
      <c r="S128" s="4" t="n">
        <f aca="false">IF(AB128=0,0,IF(AB128=1,30,IF(AB128=2,60,IF(AB128=3,120,IF(AB128=4,180,240)))))</f>
        <v>0</v>
      </c>
      <c r="T128" s="4" t="n">
        <f aca="false">IF(Y128&gt;0,Y128*600/MAX(1,Z128),0)</f>
        <v>0</v>
      </c>
      <c r="U128" s="4" t="n">
        <f aca="false">IF(AW128&gt;0,AW128*1000000*MAX(0,MIN(22,1+LOG10(AW128)))/100/12,0)</f>
        <v>0</v>
      </c>
      <c r="AA128" s="4" t="n">
        <f aca="true">IF(K128="W",IFERROR(IF(AND(AC128&gt;0,(TODAY()-AC128)&lt;36*365.25/12),2400/((TODAY()-AC128)/30.44/6+1),0),0)+IFERROR(IF(AND(AD128&gt;0,(TODAY()-AD128)&lt;36*365.25/12),2400/((TODAY()-AD128)/30.44/6+1),0),0)+IFERROR(IF(AND(AE128&gt;0,(TODAY()-AE128)&lt;36*365.25/12),2400/((TODAY()-AE128)/30.44/6+1),0),0)+IFERROR(IF(AND(AF128&gt;0,(TODAY()-AF128)&lt;36*365.25/12),2400/((TODAY()-AF128)/30.44/6+1),0),0)+IFERROR(IF(AND(AG128&gt;0,(TODAY()-AG128)&lt;36*365.25/12),2400/((TODAY()-AG128)/30.44/6+1),0),0),0)</f>
        <v>0</v>
      </c>
      <c r="AB128" s="4" t="n">
        <f aca="false">COUNTA(AC128:AG128)</f>
        <v>0</v>
      </c>
      <c r="AY128" s="1" t="n">
        <v>128</v>
      </c>
    </row>
    <row r="129" customFormat="false" ht="15" hidden="false" customHeight="true" outlineLevel="0" collapsed="false">
      <c r="B129" s="1" t="n">
        <v>129</v>
      </c>
      <c r="L129" s="4" t="n">
        <f aca="true">YEAR(TODAY())-H129</f>
        <v>2026</v>
      </c>
      <c r="N129" s="4" t="n">
        <f aca="true">O129+IF(AT129=1,480,0)+AA129+IF(K129="M",IF(AH129&gt;0,IF((TODAY()-AH129)/30.44&lt;6,2400,IF((TODAY()-AH129)/30.44&lt;12,1200,0)),0),0)+IF(AP129&gt;0,AP129,0)-R129-T129-S129-U129</f>
        <v>450</v>
      </c>
      <c r="O129" s="4" t="n">
        <f aca="true">IF(X129=1,1200,IF(YEAR(TODAY())-H129&lt;18,0,IF(YEAR(TODAY())-H129&lt;65,300,450)))</f>
        <v>450</v>
      </c>
      <c r="R129" s="4" t="n">
        <f aca="false">IF(MIN(AM129+IF(ISNUMBER(AN129),AN129,0),16000)&gt;=600,(MIN(AM129+IF(ISNUMBER(AN129),AN129,0),16000)-600)^0.8/10000*MIN(AM129+IF(ISNUMBER(AN129),AN129,0),16000),0)</f>
        <v>0</v>
      </c>
      <c r="S129" s="4" t="n">
        <f aca="false">IF(AB129=0,0,IF(AB129=1,30,IF(AB129=2,60,IF(AB129=3,120,IF(AB129=4,180,240)))))</f>
        <v>0</v>
      </c>
      <c r="T129" s="4" t="n">
        <f aca="false">IF(Y129&gt;0,Y129*600/MAX(1,Z129),0)</f>
        <v>0</v>
      </c>
      <c r="U129" s="4" t="n">
        <f aca="false">IF(AW129&gt;0,AW129*1000000*MAX(0,MIN(22,1+LOG10(AW129)))/100/12,0)</f>
        <v>0</v>
      </c>
      <c r="AA129" s="4" t="n">
        <f aca="true">IF(K129="W",IFERROR(IF(AND(AC129&gt;0,(TODAY()-AC129)&lt;36*365.25/12),2400/((TODAY()-AC129)/30.44/6+1),0),0)+IFERROR(IF(AND(AD129&gt;0,(TODAY()-AD129)&lt;36*365.25/12),2400/((TODAY()-AD129)/30.44/6+1),0),0)+IFERROR(IF(AND(AE129&gt;0,(TODAY()-AE129)&lt;36*365.25/12),2400/((TODAY()-AE129)/30.44/6+1),0),0)+IFERROR(IF(AND(AF129&gt;0,(TODAY()-AF129)&lt;36*365.25/12),2400/((TODAY()-AF129)/30.44/6+1),0),0)+IFERROR(IF(AND(AG129&gt;0,(TODAY()-AG129)&lt;36*365.25/12),2400/((TODAY()-AG129)/30.44/6+1),0),0),0)</f>
        <v>0</v>
      </c>
      <c r="AB129" s="4" t="n">
        <f aca="false">COUNTA(AC129:AG129)</f>
        <v>0</v>
      </c>
      <c r="AY129" s="1" t="n">
        <v>129</v>
      </c>
    </row>
    <row r="130" customFormat="false" ht="15" hidden="false" customHeight="true" outlineLevel="0" collapsed="false">
      <c r="B130" s="1" t="n">
        <v>130</v>
      </c>
      <c r="L130" s="4" t="n">
        <f aca="true">YEAR(TODAY())-H130</f>
        <v>2026</v>
      </c>
      <c r="N130" s="4" t="n">
        <f aca="true">O130+IF(AT130=1,480,0)+AA130+IF(K130="M",IF(AH130&gt;0,IF((TODAY()-AH130)/30.44&lt;6,2400,IF((TODAY()-AH130)/30.44&lt;12,1200,0)),0),0)+IF(AP130&gt;0,AP130,0)-R130-T130-S130-U130</f>
        <v>450</v>
      </c>
      <c r="O130" s="4" t="n">
        <f aca="true">IF(X130=1,1200,IF(YEAR(TODAY())-H130&lt;18,0,IF(YEAR(TODAY())-H130&lt;65,300,450)))</f>
        <v>450</v>
      </c>
      <c r="R130" s="4" t="n">
        <f aca="false">IF(MIN(AM130+IF(ISNUMBER(AN130),AN130,0),16000)&gt;=600,(MIN(AM130+IF(ISNUMBER(AN130),AN130,0),16000)-600)^0.8/10000*MIN(AM130+IF(ISNUMBER(AN130),AN130,0),16000),0)</f>
        <v>0</v>
      </c>
      <c r="S130" s="4" t="n">
        <f aca="false">IF(AB130=0,0,IF(AB130=1,30,IF(AB130=2,60,IF(AB130=3,120,IF(AB130=4,180,240)))))</f>
        <v>0</v>
      </c>
      <c r="T130" s="4" t="n">
        <f aca="false">IF(Y130&gt;0,Y130*600/MAX(1,Z130),0)</f>
        <v>0</v>
      </c>
      <c r="U130" s="4" t="n">
        <f aca="false">IF(AW130&gt;0,AW130*1000000*MAX(0,MIN(22,1+LOG10(AW130)))/100/12,0)</f>
        <v>0</v>
      </c>
      <c r="AA130" s="4" t="n">
        <f aca="true">IF(K130="W",IFERROR(IF(AND(AC130&gt;0,(TODAY()-AC130)&lt;36*365.25/12),2400/((TODAY()-AC130)/30.44/6+1),0),0)+IFERROR(IF(AND(AD130&gt;0,(TODAY()-AD130)&lt;36*365.25/12),2400/((TODAY()-AD130)/30.44/6+1),0),0)+IFERROR(IF(AND(AE130&gt;0,(TODAY()-AE130)&lt;36*365.25/12),2400/((TODAY()-AE130)/30.44/6+1),0),0)+IFERROR(IF(AND(AF130&gt;0,(TODAY()-AF130)&lt;36*365.25/12),2400/((TODAY()-AF130)/30.44/6+1),0),0)+IFERROR(IF(AND(AG130&gt;0,(TODAY()-AG130)&lt;36*365.25/12),2400/((TODAY()-AG130)/30.44/6+1),0),0),0)</f>
        <v>0</v>
      </c>
      <c r="AB130" s="4" t="n">
        <f aca="false">COUNTA(AC130:AG130)</f>
        <v>0</v>
      </c>
      <c r="AY130" s="1" t="n">
        <v>130</v>
      </c>
    </row>
    <row r="131" customFormat="false" ht="15" hidden="false" customHeight="true" outlineLevel="0" collapsed="false">
      <c r="B131" s="1" t="n">
        <v>131</v>
      </c>
      <c r="L131" s="4" t="n">
        <f aca="true">YEAR(TODAY())-H131</f>
        <v>2026</v>
      </c>
      <c r="N131" s="4" t="n">
        <f aca="true">O131+IF(AT131=1,480,0)+AA131+IF(K131="M",IF(AH131&gt;0,IF((TODAY()-AH131)/30.44&lt;6,2400,IF((TODAY()-AH131)/30.44&lt;12,1200,0)),0),0)+IF(AP131&gt;0,AP131,0)-R131-T131-S131-U131</f>
        <v>450</v>
      </c>
      <c r="O131" s="4" t="n">
        <f aca="true">IF(X131=1,1200,IF(YEAR(TODAY())-H131&lt;18,0,IF(YEAR(TODAY())-H131&lt;65,300,450)))</f>
        <v>450</v>
      </c>
      <c r="R131" s="4" t="n">
        <f aca="false">IF(MIN(AM131+IF(ISNUMBER(AN131),AN131,0),16000)&gt;=600,(MIN(AM131+IF(ISNUMBER(AN131),AN131,0),16000)-600)^0.8/10000*MIN(AM131+IF(ISNUMBER(AN131),AN131,0),16000),0)</f>
        <v>0</v>
      </c>
      <c r="S131" s="4" t="n">
        <f aca="false">IF(AB131=0,0,IF(AB131=1,30,IF(AB131=2,60,IF(AB131=3,120,IF(AB131=4,180,240)))))</f>
        <v>0</v>
      </c>
      <c r="T131" s="4" t="n">
        <f aca="false">IF(Y131&gt;0,Y131*600/MAX(1,Z131),0)</f>
        <v>0</v>
      </c>
      <c r="U131" s="4" t="n">
        <f aca="false">IF(AW131&gt;0,AW131*1000000*MAX(0,MIN(22,1+LOG10(AW131)))/100/12,0)</f>
        <v>0</v>
      </c>
      <c r="AA131" s="4" t="n">
        <f aca="true">IF(K131="W",IFERROR(IF(AND(AC131&gt;0,(TODAY()-AC131)&lt;36*365.25/12),2400/((TODAY()-AC131)/30.44/6+1),0),0)+IFERROR(IF(AND(AD131&gt;0,(TODAY()-AD131)&lt;36*365.25/12),2400/((TODAY()-AD131)/30.44/6+1),0),0)+IFERROR(IF(AND(AE131&gt;0,(TODAY()-AE131)&lt;36*365.25/12),2400/((TODAY()-AE131)/30.44/6+1),0),0)+IFERROR(IF(AND(AF131&gt;0,(TODAY()-AF131)&lt;36*365.25/12),2400/((TODAY()-AF131)/30.44/6+1),0),0)+IFERROR(IF(AND(AG131&gt;0,(TODAY()-AG131)&lt;36*365.25/12),2400/((TODAY()-AG131)/30.44/6+1),0),0),0)</f>
        <v>0</v>
      </c>
      <c r="AB131" s="4" t="n">
        <f aca="false">COUNTA(AC131:AG131)</f>
        <v>0</v>
      </c>
      <c r="AY131" s="1" t="n">
        <v>131</v>
      </c>
    </row>
    <row r="132" customFormat="false" ht="15" hidden="false" customHeight="true" outlineLevel="0" collapsed="false">
      <c r="B132" s="1" t="n">
        <v>132</v>
      </c>
      <c r="L132" s="4" t="n">
        <f aca="true">YEAR(TODAY())-H132</f>
        <v>2026</v>
      </c>
      <c r="N132" s="4" t="n">
        <f aca="true">O132+IF(AT132=1,480,0)+AA132+IF(K132="M",IF(AH132&gt;0,IF((TODAY()-AH132)/30.44&lt;6,2400,IF((TODAY()-AH132)/30.44&lt;12,1200,0)),0),0)+IF(AP132&gt;0,AP132,0)-R132-T132-S132-U132</f>
        <v>450</v>
      </c>
      <c r="O132" s="4" t="n">
        <f aca="true">IF(X132=1,1200,IF(YEAR(TODAY())-H132&lt;18,0,IF(YEAR(TODAY())-H132&lt;65,300,450)))</f>
        <v>450</v>
      </c>
      <c r="R132" s="4" t="n">
        <f aca="false">IF(MIN(AM132+IF(ISNUMBER(AN132),AN132,0),16000)&gt;=600,(MIN(AM132+IF(ISNUMBER(AN132),AN132,0),16000)-600)^0.8/10000*MIN(AM132+IF(ISNUMBER(AN132),AN132,0),16000),0)</f>
        <v>0</v>
      </c>
      <c r="S132" s="4" t="n">
        <f aca="false">IF(AB132=0,0,IF(AB132=1,30,IF(AB132=2,60,IF(AB132=3,120,IF(AB132=4,180,240)))))</f>
        <v>0</v>
      </c>
      <c r="T132" s="4" t="n">
        <f aca="false">IF(Y132&gt;0,Y132*600/MAX(1,Z132),0)</f>
        <v>0</v>
      </c>
      <c r="U132" s="4" t="n">
        <f aca="false">IF(AW132&gt;0,AW132*1000000*MAX(0,MIN(22,1+LOG10(AW132)))/100/12,0)</f>
        <v>0</v>
      </c>
      <c r="AA132" s="4" t="n">
        <f aca="true">IF(K132="W",IFERROR(IF(AND(AC132&gt;0,(TODAY()-AC132)&lt;36*365.25/12),2400/((TODAY()-AC132)/30.44/6+1),0),0)+IFERROR(IF(AND(AD132&gt;0,(TODAY()-AD132)&lt;36*365.25/12),2400/((TODAY()-AD132)/30.44/6+1),0),0)+IFERROR(IF(AND(AE132&gt;0,(TODAY()-AE132)&lt;36*365.25/12),2400/((TODAY()-AE132)/30.44/6+1),0),0)+IFERROR(IF(AND(AF132&gt;0,(TODAY()-AF132)&lt;36*365.25/12),2400/((TODAY()-AF132)/30.44/6+1),0),0)+IFERROR(IF(AND(AG132&gt;0,(TODAY()-AG132)&lt;36*365.25/12),2400/((TODAY()-AG132)/30.44/6+1),0),0),0)</f>
        <v>0</v>
      </c>
      <c r="AB132" s="4" t="n">
        <f aca="false">COUNTA(AC132:AG132)</f>
        <v>0</v>
      </c>
      <c r="AY132" s="1" t="n">
        <v>132</v>
      </c>
    </row>
    <row r="133" customFormat="false" ht="15" hidden="false" customHeight="true" outlineLevel="0" collapsed="false">
      <c r="B133" s="1" t="n">
        <v>133</v>
      </c>
      <c r="L133" s="4" t="n">
        <f aca="true">YEAR(TODAY())-H133</f>
        <v>2026</v>
      </c>
      <c r="N133" s="4" t="n">
        <f aca="true">O133+IF(AT133=1,480,0)+AA133+IF(K133="M",IF(AH133&gt;0,IF((TODAY()-AH133)/30.44&lt;6,2400,IF((TODAY()-AH133)/30.44&lt;12,1200,0)),0),0)+IF(AP133&gt;0,AP133,0)-R133-T133-S133-U133</f>
        <v>450</v>
      </c>
      <c r="O133" s="4" t="n">
        <f aca="true">IF(X133=1,1200,IF(YEAR(TODAY())-H133&lt;18,0,IF(YEAR(TODAY())-H133&lt;65,300,450)))</f>
        <v>450</v>
      </c>
      <c r="R133" s="4" t="n">
        <f aca="false">IF(MIN(AM133+IF(ISNUMBER(AN133),AN133,0),16000)&gt;=600,(MIN(AM133+IF(ISNUMBER(AN133),AN133,0),16000)-600)^0.8/10000*MIN(AM133+IF(ISNUMBER(AN133),AN133,0),16000),0)</f>
        <v>0</v>
      </c>
      <c r="S133" s="4" t="n">
        <f aca="false">IF(AB133=0,0,IF(AB133=1,30,IF(AB133=2,60,IF(AB133=3,120,IF(AB133=4,180,240)))))</f>
        <v>0</v>
      </c>
      <c r="T133" s="4" t="n">
        <f aca="false">IF(Y133&gt;0,Y133*600/MAX(1,Z133),0)</f>
        <v>0</v>
      </c>
      <c r="U133" s="4" t="n">
        <f aca="false">IF(AW133&gt;0,AW133*1000000*MAX(0,MIN(22,1+LOG10(AW133)))/100/12,0)</f>
        <v>0</v>
      </c>
      <c r="AA133" s="4" t="n">
        <f aca="true">IF(K133="W",IFERROR(IF(AND(AC133&gt;0,(TODAY()-AC133)&lt;36*365.25/12),2400/((TODAY()-AC133)/30.44/6+1),0),0)+IFERROR(IF(AND(AD133&gt;0,(TODAY()-AD133)&lt;36*365.25/12),2400/((TODAY()-AD133)/30.44/6+1),0),0)+IFERROR(IF(AND(AE133&gt;0,(TODAY()-AE133)&lt;36*365.25/12),2400/((TODAY()-AE133)/30.44/6+1),0),0)+IFERROR(IF(AND(AF133&gt;0,(TODAY()-AF133)&lt;36*365.25/12),2400/((TODAY()-AF133)/30.44/6+1),0),0)+IFERROR(IF(AND(AG133&gt;0,(TODAY()-AG133)&lt;36*365.25/12),2400/((TODAY()-AG133)/30.44/6+1),0),0),0)</f>
        <v>0</v>
      </c>
      <c r="AB133" s="4" t="n">
        <f aca="false">COUNTA(AC133:AG133)</f>
        <v>0</v>
      </c>
      <c r="AY133" s="1" t="n">
        <v>133</v>
      </c>
    </row>
    <row r="134" customFormat="false" ht="15" hidden="false" customHeight="true" outlineLevel="0" collapsed="false">
      <c r="B134" s="1" t="n">
        <v>134</v>
      </c>
      <c r="L134" s="4" t="n">
        <f aca="true">YEAR(TODAY())-H134</f>
        <v>2026</v>
      </c>
      <c r="N134" s="4" t="n">
        <f aca="true">O134+IF(AT134=1,480,0)+AA134+IF(K134="M",IF(AH134&gt;0,IF((TODAY()-AH134)/30.44&lt;6,2400,IF((TODAY()-AH134)/30.44&lt;12,1200,0)),0),0)+IF(AP134&gt;0,AP134,0)-R134-T134-S134-U134</f>
        <v>450</v>
      </c>
      <c r="O134" s="4" t="n">
        <f aca="true">IF(X134=1,1200,IF(YEAR(TODAY())-H134&lt;18,0,IF(YEAR(TODAY())-H134&lt;65,300,450)))</f>
        <v>450</v>
      </c>
      <c r="R134" s="4" t="n">
        <f aca="false">IF(MIN(AM134+IF(ISNUMBER(AN134),AN134,0),16000)&gt;=600,(MIN(AM134+IF(ISNUMBER(AN134),AN134,0),16000)-600)^0.8/10000*MIN(AM134+IF(ISNUMBER(AN134),AN134,0),16000),0)</f>
        <v>0</v>
      </c>
      <c r="S134" s="4" t="n">
        <f aca="false">IF(AB134=0,0,IF(AB134=1,30,IF(AB134=2,60,IF(AB134=3,120,IF(AB134=4,180,240)))))</f>
        <v>0</v>
      </c>
      <c r="T134" s="4" t="n">
        <f aca="false">IF(Y134&gt;0,Y134*600/MAX(1,Z134),0)</f>
        <v>0</v>
      </c>
      <c r="U134" s="4" t="n">
        <f aca="false">IF(AW134&gt;0,AW134*1000000*MAX(0,MIN(22,1+LOG10(AW134)))/100/12,0)</f>
        <v>0</v>
      </c>
      <c r="AA134" s="4" t="n">
        <f aca="true">IF(K134="W",IFERROR(IF(AND(AC134&gt;0,(TODAY()-AC134)&lt;36*365.25/12),2400/((TODAY()-AC134)/30.44/6+1),0),0)+IFERROR(IF(AND(AD134&gt;0,(TODAY()-AD134)&lt;36*365.25/12),2400/((TODAY()-AD134)/30.44/6+1),0),0)+IFERROR(IF(AND(AE134&gt;0,(TODAY()-AE134)&lt;36*365.25/12),2400/((TODAY()-AE134)/30.44/6+1),0),0)+IFERROR(IF(AND(AF134&gt;0,(TODAY()-AF134)&lt;36*365.25/12),2400/((TODAY()-AF134)/30.44/6+1),0),0)+IFERROR(IF(AND(AG134&gt;0,(TODAY()-AG134)&lt;36*365.25/12),2400/((TODAY()-AG134)/30.44/6+1),0),0),0)</f>
        <v>0</v>
      </c>
      <c r="AB134" s="4" t="n">
        <f aca="false">COUNTA(AC134:AG134)</f>
        <v>0</v>
      </c>
      <c r="AY134" s="1" t="n">
        <v>134</v>
      </c>
    </row>
    <row r="135" customFormat="false" ht="15" hidden="false" customHeight="true" outlineLevel="0" collapsed="false">
      <c r="B135" s="1" t="n">
        <v>135</v>
      </c>
      <c r="L135" s="4" t="n">
        <f aca="true">YEAR(TODAY())-H135</f>
        <v>2026</v>
      </c>
      <c r="N135" s="4" t="n">
        <f aca="true">O135+IF(AT135=1,480,0)+AA135+IF(K135="M",IF(AH135&gt;0,IF((TODAY()-AH135)/30.44&lt;6,2400,IF((TODAY()-AH135)/30.44&lt;12,1200,0)),0),0)+IF(AP135&gt;0,AP135,0)-R135-T135-S135-U135</f>
        <v>450</v>
      </c>
      <c r="O135" s="4" t="n">
        <f aca="true">IF(X135=1,1200,IF(YEAR(TODAY())-H135&lt;18,0,IF(YEAR(TODAY())-H135&lt;65,300,450)))</f>
        <v>450</v>
      </c>
      <c r="R135" s="4" t="n">
        <f aca="false">IF(MIN(AM135+IF(ISNUMBER(AN135),AN135,0),16000)&gt;=600,(MIN(AM135+IF(ISNUMBER(AN135),AN135,0),16000)-600)^0.8/10000*MIN(AM135+IF(ISNUMBER(AN135),AN135,0),16000),0)</f>
        <v>0</v>
      </c>
      <c r="S135" s="4" t="n">
        <f aca="false">IF(AB135=0,0,IF(AB135=1,30,IF(AB135=2,60,IF(AB135=3,120,IF(AB135=4,180,240)))))</f>
        <v>0</v>
      </c>
      <c r="T135" s="4" t="n">
        <f aca="false">IF(Y135&gt;0,Y135*600/MAX(1,Z135),0)</f>
        <v>0</v>
      </c>
      <c r="U135" s="4" t="n">
        <f aca="false">IF(AW135&gt;0,AW135*1000000*MAX(0,MIN(22,1+LOG10(AW135)))/100/12,0)</f>
        <v>0</v>
      </c>
      <c r="AA135" s="4" t="n">
        <f aca="true">IF(K135="W",IFERROR(IF(AND(AC135&gt;0,(TODAY()-AC135)&lt;36*365.25/12),2400/((TODAY()-AC135)/30.44/6+1),0),0)+IFERROR(IF(AND(AD135&gt;0,(TODAY()-AD135)&lt;36*365.25/12),2400/((TODAY()-AD135)/30.44/6+1),0),0)+IFERROR(IF(AND(AE135&gt;0,(TODAY()-AE135)&lt;36*365.25/12),2400/((TODAY()-AE135)/30.44/6+1),0),0)+IFERROR(IF(AND(AF135&gt;0,(TODAY()-AF135)&lt;36*365.25/12),2400/((TODAY()-AF135)/30.44/6+1),0),0)+IFERROR(IF(AND(AG135&gt;0,(TODAY()-AG135)&lt;36*365.25/12),2400/((TODAY()-AG135)/30.44/6+1),0),0),0)</f>
        <v>0</v>
      </c>
      <c r="AB135" s="4" t="n">
        <f aca="false">COUNTA(AC135:AG135)</f>
        <v>0</v>
      </c>
      <c r="AY135" s="1" t="n">
        <v>135</v>
      </c>
    </row>
    <row r="136" customFormat="false" ht="15" hidden="false" customHeight="true" outlineLevel="0" collapsed="false">
      <c r="B136" s="1" t="n">
        <v>136</v>
      </c>
      <c r="L136" s="4" t="n">
        <f aca="true">YEAR(TODAY())-H136</f>
        <v>2026</v>
      </c>
      <c r="N136" s="4" t="n">
        <f aca="true">O136+IF(AT136=1,480,0)+AA136+IF(K136="M",IF(AH136&gt;0,IF((TODAY()-AH136)/30.44&lt;6,2400,IF((TODAY()-AH136)/30.44&lt;12,1200,0)),0),0)+IF(AP136&gt;0,AP136,0)-R136-T136-S136-U136</f>
        <v>450</v>
      </c>
      <c r="O136" s="4" t="n">
        <f aca="true">IF(X136=1,1200,IF(YEAR(TODAY())-H136&lt;18,0,IF(YEAR(TODAY())-H136&lt;65,300,450)))</f>
        <v>450</v>
      </c>
      <c r="R136" s="4" t="n">
        <f aca="false">IF(MIN(AM136+IF(ISNUMBER(AN136),AN136,0),16000)&gt;=600,(MIN(AM136+IF(ISNUMBER(AN136),AN136,0),16000)-600)^0.8/10000*MIN(AM136+IF(ISNUMBER(AN136),AN136,0),16000),0)</f>
        <v>0</v>
      </c>
      <c r="S136" s="4" t="n">
        <f aca="false">IF(AB136=0,0,IF(AB136=1,30,IF(AB136=2,60,IF(AB136=3,120,IF(AB136=4,180,240)))))</f>
        <v>0</v>
      </c>
      <c r="T136" s="4" t="n">
        <f aca="false">IF(Y136&gt;0,Y136*600/MAX(1,Z136),0)</f>
        <v>0</v>
      </c>
      <c r="U136" s="4" t="n">
        <f aca="false">IF(AW136&gt;0,AW136*1000000*MAX(0,MIN(22,1+LOG10(AW136)))/100/12,0)</f>
        <v>0</v>
      </c>
      <c r="AA136" s="4" t="n">
        <f aca="true">IF(K136="W",IFERROR(IF(AND(AC136&gt;0,(TODAY()-AC136)&lt;36*365.25/12),2400/((TODAY()-AC136)/30.44/6+1),0),0)+IFERROR(IF(AND(AD136&gt;0,(TODAY()-AD136)&lt;36*365.25/12),2400/((TODAY()-AD136)/30.44/6+1),0),0)+IFERROR(IF(AND(AE136&gt;0,(TODAY()-AE136)&lt;36*365.25/12),2400/((TODAY()-AE136)/30.44/6+1),0),0)+IFERROR(IF(AND(AF136&gt;0,(TODAY()-AF136)&lt;36*365.25/12),2400/((TODAY()-AF136)/30.44/6+1),0),0)+IFERROR(IF(AND(AG136&gt;0,(TODAY()-AG136)&lt;36*365.25/12),2400/((TODAY()-AG136)/30.44/6+1),0),0),0)</f>
        <v>0</v>
      </c>
      <c r="AB136" s="4" t="n">
        <f aca="false">COUNTA(AC136:AG136)</f>
        <v>0</v>
      </c>
      <c r="AY136" s="1" t="n">
        <v>136</v>
      </c>
    </row>
    <row r="137" customFormat="false" ht="15" hidden="false" customHeight="true" outlineLevel="0" collapsed="false">
      <c r="B137" s="1" t="n">
        <v>137</v>
      </c>
      <c r="L137" s="4" t="n">
        <f aca="true">YEAR(TODAY())-H137</f>
        <v>2026</v>
      </c>
      <c r="N137" s="4" t="n">
        <f aca="true">O137+IF(AT137=1,480,0)+AA137+IF(K137="M",IF(AH137&gt;0,IF((TODAY()-AH137)/30.44&lt;6,2400,IF((TODAY()-AH137)/30.44&lt;12,1200,0)),0),0)+IF(AP137&gt;0,AP137,0)-R137-T137-S137-U137</f>
        <v>450</v>
      </c>
      <c r="O137" s="4" t="n">
        <f aca="true">IF(X137=1,1200,IF(YEAR(TODAY())-H137&lt;18,0,IF(YEAR(TODAY())-H137&lt;65,300,450)))</f>
        <v>450</v>
      </c>
      <c r="R137" s="4" t="n">
        <f aca="false">IF(MIN(AM137+IF(ISNUMBER(AN137),AN137,0),16000)&gt;=600,(MIN(AM137+IF(ISNUMBER(AN137),AN137,0),16000)-600)^0.8/10000*MIN(AM137+IF(ISNUMBER(AN137),AN137,0),16000),0)</f>
        <v>0</v>
      </c>
      <c r="S137" s="4" t="n">
        <f aca="false">IF(AB137=0,0,IF(AB137=1,30,IF(AB137=2,60,IF(AB137=3,120,IF(AB137=4,180,240)))))</f>
        <v>0</v>
      </c>
      <c r="T137" s="4" t="n">
        <f aca="false">IF(Y137&gt;0,Y137*600/MAX(1,Z137),0)</f>
        <v>0</v>
      </c>
      <c r="U137" s="4" t="n">
        <f aca="false">IF(AW137&gt;0,AW137*1000000*MAX(0,MIN(22,1+LOG10(AW137)))/100/12,0)</f>
        <v>0</v>
      </c>
      <c r="AA137" s="4" t="n">
        <f aca="true">IF(K137="W",IFERROR(IF(AND(AC137&gt;0,(TODAY()-AC137)&lt;36*365.25/12),2400/((TODAY()-AC137)/30.44/6+1),0),0)+IFERROR(IF(AND(AD137&gt;0,(TODAY()-AD137)&lt;36*365.25/12),2400/((TODAY()-AD137)/30.44/6+1),0),0)+IFERROR(IF(AND(AE137&gt;0,(TODAY()-AE137)&lt;36*365.25/12),2400/((TODAY()-AE137)/30.44/6+1),0),0)+IFERROR(IF(AND(AF137&gt;0,(TODAY()-AF137)&lt;36*365.25/12),2400/((TODAY()-AF137)/30.44/6+1),0),0)+IFERROR(IF(AND(AG137&gt;0,(TODAY()-AG137)&lt;36*365.25/12),2400/((TODAY()-AG137)/30.44/6+1),0),0),0)</f>
        <v>0</v>
      </c>
      <c r="AB137" s="4" t="n">
        <f aca="false">COUNTA(AC137:AG137)</f>
        <v>0</v>
      </c>
      <c r="AY137" s="1" t="n">
        <v>137</v>
      </c>
    </row>
    <row r="138" customFormat="false" ht="15" hidden="false" customHeight="true" outlineLevel="0" collapsed="false">
      <c r="B138" s="1" t="n">
        <v>138</v>
      </c>
      <c r="L138" s="4" t="n">
        <f aca="true">YEAR(TODAY())-H138</f>
        <v>2026</v>
      </c>
      <c r="N138" s="4" t="n">
        <f aca="true">O138+IF(AT138=1,480,0)+AA138+IF(K138="M",IF(AH138&gt;0,IF((TODAY()-AH138)/30.44&lt;6,2400,IF((TODAY()-AH138)/30.44&lt;12,1200,0)),0),0)+IF(AP138&gt;0,AP138,0)-R138-T138-S138-U138</f>
        <v>450</v>
      </c>
      <c r="O138" s="4" t="n">
        <f aca="true">IF(X138=1,1200,IF(YEAR(TODAY())-H138&lt;18,0,IF(YEAR(TODAY())-H138&lt;65,300,450)))</f>
        <v>450</v>
      </c>
      <c r="R138" s="4" t="n">
        <f aca="false">IF(MIN(AM138+IF(ISNUMBER(AN138),AN138,0),16000)&gt;=600,(MIN(AM138+IF(ISNUMBER(AN138),AN138,0),16000)-600)^0.8/10000*MIN(AM138+IF(ISNUMBER(AN138),AN138,0),16000),0)</f>
        <v>0</v>
      </c>
      <c r="S138" s="4" t="n">
        <f aca="false">IF(AB138=0,0,IF(AB138=1,30,IF(AB138=2,60,IF(AB138=3,120,IF(AB138=4,180,240)))))</f>
        <v>0</v>
      </c>
      <c r="T138" s="4" t="n">
        <f aca="false">IF(Y138&gt;0,Y138*600/MAX(1,Z138),0)</f>
        <v>0</v>
      </c>
      <c r="U138" s="4" t="n">
        <f aca="false">IF(AW138&gt;0,AW138*1000000*MAX(0,MIN(22,1+LOG10(AW138)))/100/12,0)</f>
        <v>0</v>
      </c>
      <c r="AA138" s="4" t="n">
        <f aca="true">IF(K138="W",IFERROR(IF(AND(AC138&gt;0,(TODAY()-AC138)&lt;36*365.25/12),2400/((TODAY()-AC138)/30.44/6+1),0),0)+IFERROR(IF(AND(AD138&gt;0,(TODAY()-AD138)&lt;36*365.25/12),2400/((TODAY()-AD138)/30.44/6+1),0),0)+IFERROR(IF(AND(AE138&gt;0,(TODAY()-AE138)&lt;36*365.25/12),2400/((TODAY()-AE138)/30.44/6+1),0),0)+IFERROR(IF(AND(AF138&gt;0,(TODAY()-AF138)&lt;36*365.25/12),2400/((TODAY()-AF138)/30.44/6+1),0),0)+IFERROR(IF(AND(AG138&gt;0,(TODAY()-AG138)&lt;36*365.25/12),2400/((TODAY()-AG138)/30.44/6+1),0),0),0)</f>
        <v>0</v>
      </c>
      <c r="AB138" s="4" t="n">
        <f aca="false">COUNTA(AC138:AG138)</f>
        <v>0</v>
      </c>
      <c r="AY138" s="1" t="n">
        <v>138</v>
      </c>
    </row>
    <row r="139" customFormat="false" ht="15" hidden="false" customHeight="true" outlineLevel="0" collapsed="false">
      <c r="B139" s="1" t="n">
        <v>139</v>
      </c>
      <c r="L139" s="4" t="n">
        <f aca="true">YEAR(TODAY())-H139</f>
        <v>2026</v>
      </c>
      <c r="N139" s="4" t="n">
        <f aca="true">O139+IF(AT139=1,480,0)+AA139+IF(K139="M",IF(AH139&gt;0,IF((TODAY()-AH139)/30.44&lt;6,2400,IF((TODAY()-AH139)/30.44&lt;12,1200,0)),0),0)+IF(AP139&gt;0,AP139,0)-R139-T139-S139-U139</f>
        <v>450</v>
      </c>
      <c r="O139" s="4" t="n">
        <f aca="true">IF(X139=1,1200,IF(YEAR(TODAY())-H139&lt;18,0,IF(YEAR(TODAY())-H139&lt;65,300,450)))</f>
        <v>450</v>
      </c>
      <c r="R139" s="4" t="n">
        <f aca="false">IF(MIN(AM139+IF(ISNUMBER(AN139),AN139,0),16000)&gt;=600,(MIN(AM139+IF(ISNUMBER(AN139),AN139,0),16000)-600)^0.8/10000*MIN(AM139+IF(ISNUMBER(AN139),AN139,0),16000),0)</f>
        <v>0</v>
      </c>
      <c r="S139" s="4" t="n">
        <f aca="false">IF(AB139=0,0,IF(AB139=1,30,IF(AB139=2,60,IF(AB139=3,120,IF(AB139=4,180,240)))))</f>
        <v>0</v>
      </c>
      <c r="T139" s="4" t="n">
        <f aca="false">IF(Y139&gt;0,Y139*600/MAX(1,Z139),0)</f>
        <v>0</v>
      </c>
      <c r="U139" s="4" t="n">
        <f aca="false">IF(AW139&gt;0,AW139*1000000*MAX(0,MIN(22,1+LOG10(AW139)))/100/12,0)</f>
        <v>0</v>
      </c>
      <c r="AA139" s="4" t="n">
        <f aca="true">IF(K139="W",IFERROR(IF(AND(AC139&gt;0,(TODAY()-AC139)&lt;36*365.25/12),2400/((TODAY()-AC139)/30.44/6+1),0),0)+IFERROR(IF(AND(AD139&gt;0,(TODAY()-AD139)&lt;36*365.25/12),2400/((TODAY()-AD139)/30.44/6+1),0),0)+IFERROR(IF(AND(AE139&gt;0,(TODAY()-AE139)&lt;36*365.25/12),2400/((TODAY()-AE139)/30.44/6+1),0),0)+IFERROR(IF(AND(AF139&gt;0,(TODAY()-AF139)&lt;36*365.25/12),2400/((TODAY()-AF139)/30.44/6+1),0),0)+IFERROR(IF(AND(AG139&gt;0,(TODAY()-AG139)&lt;36*365.25/12),2400/((TODAY()-AG139)/30.44/6+1),0),0),0)</f>
        <v>0</v>
      </c>
      <c r="AB139" s="4" t="n">
        <f aca="false">COUNTA(AC139:AG139)</f>
        <v>0</v>
      </c>
      <c r="AY139" s="1" t="n">
        <v>139</v>
      </c>
    </row>
    <row r="140" customFormat="false" ht="15" hidden="false" customHeight="true" outlineLevel="0" collapsed="false">
      <c r="B140" s="1" t="n">
        <v>140</v>
      </c>
      <c r="L140" s="4" t="n">
        <f aca="true">YEAR(TODAY())-H140</f>
        <v>2026</v>
      </c>
      <c r="N140" s="4" t="n">
        <f aca="true">O140+IF(AT140=1,480,0)+AA140+IF(K140="M",IF(AH140&gt;0,IF((TODAY()-AH140)/30.44&lt;6,2400,IF((TODAY()-AH140)/30.44&lt;12,1200,0)),0),0)+IF(AP140&gt;0,AP140,0)-R140-T140-S140-U140</f>
        <v>450</v>
      </c>
      <c r="O140" s="4" t="n">
        <f aca="true">IF(X140=1,1200,IF(YEAR(TODAY())-H140&lt;18,0,IF(YEAR(TODAY())-H140&lt;65,300,450)))</f>
        <v>450</v>
      </c>
      <c r="R140" s="4" t="n">
        <f aca="false">IF(MIN(AM140+IF(ISNUMBER(AN140),AN140,0),16000)&gt;=600,(MIN(AM140+IF(ISNUMBER(AN140),AN140,0),16000)-600)^0.8/10000*MIN(AM140+IF(ISNUMBER(AN140),AN140,0),16000),0)</f>
        <v>0</v>
      </c>
      <c r="S140" s="4" t="n">
        <f aca="false">IF(AB140=0,0,IF(AB140=1,30,IF(AB140=2,60,IF(AB140=3,120,IF(AB140=4,180,240)))))</f>
        <v>0</v>
      </c>
      <c r="T140" s="4" t="n">
        <f aca="false">IF(Y140&gt;0,Y140*600/MAX(1,Z140),0)</f>
        <v>0</v>
      </c>
      <c r="U140" s="4" t="n">
        <f aca="false">IF(AW140&gt;0,AW140*1000000*MAX(0,MIN(22,1+LOG10(AW140)))/100/12,0)</f>
        <v>0</v>
      </c>
      <c r="AA140" s="4" t="n">
        <f aca="true">IF(K140="W",IFERROR(IF(AND(AC140&gt;0,(TODAY()-AC140)&lt;36*365.25/12),2400/((TODAY()-AC140)/30.44/6+1),0),0)+IFERROR(IF(AND(AD140&gt;0,(TODAY()-AD140)&lt;36*365.25/12),2400/((TODAY()-AD140)/30.44/6+1),0),0)+IFERROR(IF(AND(AE140&gt;0,(TODAY()-AE140)&lt;36*365.25/12),2400/((TODAY()-AE140)/30.44/6+1),0),0)+IFERROR(IF(AND(AF140&gt;0,(TODAY()-AF140)&lt;36*365.25/12),2400/((TODAY()-AF140)/30.44/6+1),0),0)+IFERROR(IF(AND(AG140&gt;0,(TODAY()-AG140)&lt;36*365.25/12),2400/((TODAY()-AG140)/30.44/6+1),0),0),0)</f>
        <v>0</v>
      </c>
      <c r="AB140" s="4" t="n">
        <f aca="false">COUNTA(AC140:AG140)</f>
        <v>0</v>
      </c>
      <c r="AY140" s="1" t="n">
        <v>140</v>
      </c>
    </row>
    <row r="141" customFormat="false" ht="15" hidden="false" customHeight="true" outlineLevel="0" collapsed="false">
      <c r="B141" s="1" t="n">
        <v>141</v>
      </c>
      <c r="L141" s="4" t="n">
        <f aca="true">YEAR(TODAY())-H141</f>
        <v>2026</v>
      </c>
      <c r="N141" s="4" t="n">
        <f aca="true">O141+IF(AT141=1,480,0)+AA141+IF(K141="M",IF(AH141&gt;0,IF((TODAY()-AH141)/30.44&lt;6,2400,IF((TODAY()-AH141)/30.44&lt;12,1200,0)),0),0)+IF(AP141&gt;0,AP141,0)-R141-T141-S141-U141</f>
        <v>450</v>
      </c>
      <c r="O141" s="4" t="n">
        <f aca="true">IF(X141=1,1200,IF(YEAR(TODAY())-H141&lt;18,0,IF(YEAR(TODAY())-H141&lt;65,300,450)))</f>
        <v>450</v>
      </c>
      <c r="R141" s="4" t="n">
        <f aca="false">IF(MIN(AM141+IF(ISNUMBER(AN141),AN141,0),16000)&gt;=600,(MIN(AM141+IF(ISNUMBER(AN141),AN141,0),16000)-600)^0.8/10000*MIN(AM141+IF(ISNUMBER(AN141),AN141,0),16000),0)</f>
        <v>0</v>
      </c>
      <c r="S141" s="4" t="n">
        <f aca="false">IF(AB141=0,0,IF(AB141=1,30,IF(AB141=2,60,IF(AB141=3,120,IF(AB141=4,180,240)))))</f>
        <v>0</v>
      </c>
      <c r="T141" s="4" t="n">
        <f aca="false">IF(Y141&gt;0,Y141*600/MAX(1,Z141),0)</f>
        <v>0</v>
      </c>
      <c r="U141" s="4" t="n">
        <f aca="false">IF(AW141&gt;0,AW141*1000000*MAX(0,MIN(22,1+LOG10(AW141)))/100/12,0)</f>
        <v>0</v>
      </c>
      <c r="AA141" s="4" t="n">
        <f aca="true">IF(K141="W",IFERROR(IF(AND(AC141&gt;0,(TODAY()-AC141)&lt;36*365.25/12),2400/((TODAY()-AC141)/30.44/6+1),0),0)+IFERROR(IF(AND(AD141&gt;0,(TODAY()-AD141)&lt;36*365.25/12),2400/((TODAY()-AD141)/30.44/6+1),0),0)+IFERROR(IF(AND(AE141&gt;0,(TODAY()-AE141)&lt;36*365.25/12),2400/((TODAY()-AE141)/30.44/6+1),0),0)+IFERROR(IF(AND(AF141&gt;0,(TODAY()-AF141)&lt;36*365.25/12),2400/((TODAY()-AF141)/30.44/6+1),0),0)+IFERROR(IF(AND(AG141&gt;0,(TODAY()-AG141)&lt;36*365.25/12),2400/((TODAY()-AG141)/30.44/6+1),0),0),0)</f>
        <v>0</v>
      </c>
      <c r="AB141" s="4" t="n">
        <f aca="false">COUNTA(AC141:AG141)</f>
        <v>0</v>
      </c>
      <c r="AY141" s="1" t="n">
        <v>141</v>
      </c>
    </row>
    <row r="142" customFormat="false" ht="15" hidden="false" customHeight="true" outlineLevel="0" collapsed="false">
      <c r="B142" s="1" t="n">
        <v>142</v>
      </c>
      <c r="L142" s="4" t="n">
        <f aca="true">YEAR(TODAY())-H142</f>
        <v>2026</v>
      </c>
      <c r="N142" s="4" t="n">
        <f aca="true">O142+IF(AT142=1,480,0)+AA142+IF(K142="M",IF(AH142&gt;0,IF((TODAY()-AH142)/30.44&lt;6,2400,IF((TODAY()-AH142)/30.44&lt;12,1200,0)),0),0)+IF(AP142&gt;0,AP142,0)-R142-T142-S142-U142</f>
        <v>450</v>
      </c>
      <c r="O142" s="4" t="n">
        <f aca="true">IF(X142=1,1200,IF(YEAR(TODAY())-H142&lt;18,0,IF(YEAR(TODAY())-H142&lt;65,300,450)))</f>
        <v>450</v>
      </c>
      <c r="R142" s="4" t="n">
        <f aca="false">IF(MIN(AM142+IF(ISNUMBER(AN142),AN142,0),16000)&gt;=600,(MIN(AM142+IF(ISNUMBER(AN142),AN142,0),16000)-600)^0.8/10000*MIN(AM142+IF(ISNUMBER(AN142),AN142,0),16000),0)</f>
        <v>0</v>
      </c>
      <c r="S142" s="4" t="n">
        <f aca="false">IF(AB142=0,0,IF(AB142=1,30,IF(AB142=2,60,IF(AB142=3,120,IF(AB142=4,180,240)))))</f>
        <v>0</v>
      </c>
      <c r="T142" s="4" t="n">
        <f aca="false">IF(Y142&gt;0,Y142*600/MAX(1,Z142),0)</f>
        <v>0</v>
      </c>
      <c r="U142" s="4" t="n">
        <f aca="false">IF(AW142&gt;0,AW142*1000000*MAX(0,MIN(22,1+LOG10(AW142)))/100/12,0)</f>
        <v>0</v>
      </c>
      <c r="AA142" s="4" t="n">
        <f aca="true">IF(K142="W",IFERROR(IF(AND(AC142&gt;0,(TODAY()-AC142)&lt;36*365.25/12),2400/((TODAY()-AC142)/30.44/6+1),0),0)+IFERROR(IF(AND(AD142&gt;0,(TODAY()-AD142)&lt;36*365.25/12),2400/((TODAY()-AD142)/30.44/6+1),0),0)+IFERROR(IF(AND(AE142&gt;0,(TODAY()-AE142)&lt;36*365.25/12),2400/((TODAY()-AE142)/30.44/6+1),0),0)+IFERROR(IF(AND(AF142&gt;0,(TODAY()-AF142)&lt;36*365.25/12),2400/((TODAY()-AF142)/30.44/6+1),0),0)+IFERROR(IF(AND(AG142&gt;0,(TODAY()-AG142)&lt;36*365.25/12),2400/((TODAY()-AG142)/30.44/6+1),0),0),0)</f>
        <v>0</v>
      </c>
      <c r="AB142" s="4" t="n">
        <f aca="false">COUNTA(AC142:AG142)</f>
        <v>0</v>
      </c>
      <c r="AY142" s="1" t="n">
        <v>142</v>
      </c>
    </row>
    <row r="143" customFormat="false" ht="15" hidden="false" customHeight="true" outlineLevel="0" collapsed="false">
      <c r="B143" s="1" t="n">
        <v>143</v>
      </c>
      <c r="L143" s="4" t="n">
        <f aca="true">YEAR(TODAY())-H143</f>
        <v>2026</v>
      </c>
      <c r="N143" s="4" t="n">
        <f aca="true">O143+IF(AT143=1,480,0)+AA143+IF(K143="M",IF(AH143&gt;0,IF((TODAY()-AH143)/30.44&lt;6,2400,IF((TODAY()-AH143)/30.44&lt;12,1200,0)),0),0)+IF(AP143&gt;0,AP143,0)-R143-T143-S143-U143</f>
        <v>450</v>
      </c>
      <c r="O143" s="4" t="n">
        <f aca="true">IF(X143=1,1200,IF(YEAR(TODAY())-H143&lt;18,0,IF(YEAR(TODAY())-H143&lt;65,300,450)))</f>
        <v>450</v>
      </c>
      <c r="R143" s="4" t="n">
        <f aca="false">IF(MIN(AM143+IF(ISNUMBER(AN143),AN143,0),16000)&gt;=600,(MIN(AM143+IF(ISNUMBER(AN143),AN143,0),16000)-600)^0.8/10000*MIN(AM143+IF(ISNUMBER(AN143),AN143,0),16000),0)</f>
        <v>0</v>
      </c>
      <c r="S143" s="4" t="n">
        <f aca="false">IF(AB143=0,0,IF(AB143=1,30,IF(AB143=2,60,IF(AB143=3,120,IF(AB143=4,180,240)))))</f>
        <v>0</v>
      </c>
      <c r="T143" s="4" t="n">
        <f aca="false">IF(Y143&gt;0,Y143*600/MAX(1,Z143),0)</f>
        <v>0</v>
      </c>
      <c r="U143" s="4" t="n">
        <f aca="false">IF(AW143&gt;0,AW143*1000000*MAX(0,MIN(22,1+LOG10(AW143)))/100/12,0)</f>
        <v>0</v>
      </c>
      <c r="AA143" s="4" t="n">
        <f aca="true">IF(K143="W",IFERROR(IF(AND(AC143&gt;0,(TODAY()-AC143)&lt;36*365.25/12),2400/((TODAY()-AC143)/30.44/6+1),0),0)+IFERROR(IF(AND(AD143&gt;0,(TODAY()-AD143)&lt;36*365.25/12),2400/((TODAY()-AD143)/30.44/6+1),0),0)+IFERROR(IF(AND(AE143&gt;0,(TODAY()-AE143)&lt;36*365.25/12),2400/((TODAY()-AE143)/30.44/6+1),0),0)+IFERROR(IF(AND(AF143&gt;0,(TODAY()-AF143)&lt;36*365.25/12),2400/((TODAY()-AF143)/30.44/6+1),0),0)+IFERROR(IF(AND(AG143&gt;0,(TODAY()-AG143)&lt;36*365.25/12),2400/((TODAY()-AG143)/30.44/6+1),0),0),0)</f>
        <v>0</v>
      </c>
      <c r="AB143" s="4" t="n">
        <f aca="false">COUNTA(AC143:AG143)</f>
        <v>0</v>
      </c>
      <c r="AY143" s="1" t="n">
        <v>143</v>
      </c>
    </row>
    <row r="144" customFormat="false" ht="15" hidden="false" customHeight="true" outlineLevel="0" collapsed="false">
      <c r="B144" s="1" t="n">
        <v>144</v>
      </c>
      <c r="L144" s="4" t="n">
        <f aca="true">YEAR(TODAY())-H144</f>
        <v>2026</v>
      </c>
      <c r="N144" s="4" t="n">
        <f aca="true">O144+IF(AT144=1,480,0)+AA144+IF(K144="M",IF(AH144&gt;0,IF((TODAY()-AH144)/30.44&lt;6,2400,IF((TODAY()-AH144)/30.44&lt;12,1200,0)),0),0)+IF(AP144&gt;0,AP144,0)-R144-T144-S144-U144</f>
        <v>450</v>
      </c>
      <c r="O144" s="4" t="n">
        <f aca="true">IF(X144=1,1200,IF(YEAR(TODAY())-H144&lt;18,0,IF(YEAR(TODAY())-H144&lt;65,300,450)))</f>
        <v>450</v>
      </c>
      <c r="R144" s="4" t="n">
        <f aca="false">IF(MIN(AM144+IF(ISNUMBER(AN144),AN144,0),16000)&gt;=600,(MIN(AM144+IF(ISNUMBER(AN144),AN144,0),16000)-600)^0.8/10000*MIN(AM144+IF(ISNUMBER(AN144),AN144,0),16000),0)</f>
        <v>0</v>
      </c>
      <c r="S144" s="4" t="n">
        <f aca="false">IF(AB144=0,0,IF(AB144=1,30,IF(AB144=2,60,IF(AB144=3,120,IF(AB144=4,180,240)))))</f>
        <v>0</v>
      </c>
      <c r="T144" s="4" t="n">
        <f aca="false">IF(Y144&gt;0,Y144*600/MAX(1,Z144),0)</f>
        <v>0</v>
      </c>
      <c r="U144" s="4" t="n">
        <f aca="false">IF(AW144&gt;0,AW144*1000000*MAX(0,MIN(22,1+LOG10(AW144)))/100/12,0)</f>
        <v>0</v>
      </c>
      <c r="AA144" s="4" t="n">
        <f aca="true">IF(K144="W",IFERROR(IF(AND(AC144&gt;0,(TODAY()-AC144)&lt;36*365.25/12),2400/((TODAY()-AC144)/30.44/6+1),0),0)+IFERROR(IF(AND(AD144&gt;0,(TODAY()-AD144)&lt;36*365.25/12),2400/((TODAY()-AD144)/30.44/6+1),0),0)+IFERROR(IF(AND(AE144&gt;0,(TODAY()-AE144)&lt;36*365.25/12),2400/((TODAY()-AE144)/30.44/6+1),0),0)+IFERROR(IF(AND(AF144&gt;0,(TODAY()-AF144)&lt;36*365.25/12),2400/((TODAY()-AF144)/30.44/6+1),0),0)+IFERROR(IF(AND(AG144&gt;0,(TODAY()-AG144)&lt;36*365.25/12),2400/((TODAY()-AG144)/30.44/6+1),0),0),0)</f>
        <v>0</v>
      </c>
      <c r="AB144" s="4" t="n">
        <f aca="false">COUNTA(AC144:AG144)</f>
        <v>0</v>
      </c>
      <c r="AY144" s="1" t="n">
        <v>144</v>
      </c>
    </row>
    <row r="145" customFormat="false" ht="15" hidden="false" customHeight="true" outlineLevel="0" collapsed="false">
      <c r="B145" s="1" t="n">
        <v>145</v>
      </c>
      <c r="L145" s="4" t="n">
        <f aca="true">YEAR(TODAY())-H145</f>
        <v>2026</v>
      </c>
      <c r="N145" s="4" t="n">
        <f aca="true">O145+IF(AT145=1,480,0)+AA145+IF(K145="M",IF(AH145&gt;0,IF((TODAY()-AH145)/30.44&lt;6,2400,IF((TODAY()-AH145)/30.44&lt;12,1200,0)),0),0)+IF(AP145&gt;0,AP145,0)-R145-T145-S145-U145</f>
        <v>450</v>
      </c>
      <c r="O145" s="4" t="n">
        <f aca="true">IF(X145=1,1200,IF(YEAR(TODAY())-H145&lt;18,0,IF(YEAR(TODAY())-H145&lt;65,300,450)))</f>
        <v>450</v>
      </c>
      <c r="R145" s="4" t="n">
        <f aca="false">IF(MIN(AM145+IF(ISNUMBER(AN145),AN145,0),16000)&gt;=600,(MIN(AM145+IF(ISNUMBER(AN145),AN145,0),16000)-600)^0.8/10000*MIN(AM145+IF(ISNUMBER(AN145),AN145,0),16000),0)</f>
        <v>0</v>
      </c>
      <c r="S145" s="4" t="n">
        <f aca="false">IF(AB145=0,0,IF(AB145=1,30,IF(AB145=2,60,IF(AB145=3,120,IF(AB145=4,180,240)))))</f>
        <v>0</v>
      </c>
      <c r="T145" s="4" t="n">
        <f aca="false">IF(Y145&gt;0,Y145*600/MAX(1,Z145),0)</f>
        <v>0</v>
      </c>
      <c r="U145" s="4" t="n">
        <f aca="false">IF(AW145&gt;0,AW145*1000000*MAX(0,MIN(22,1+LOG10(AW145)))/100/12,0)</f>
        <v>0</v>
      </c>
      <c r="AA145" s="4" t="n">
        <f aca="true">IF(K145="W",IFERROR(IF(AND(AC145&gt;0,(TODAY()-AC145)&lt;36*365.25/12),2400/((TODAY()-AC145)/30.44/6+1),0),0)+IFERROR(IF(AND(AD145&gt;0,(TODAY()-AD145)&lt;36*365.25/12),2400/((TODAY()-AD145)/30.44/6+1),0),0)+IFERROR(IF(AND(AE145&gt;0,(TODAY()-AE145)&lt;36*365.25/12),2400/((TODAY()-AE145)/30.44/6+1),0),0)+IFERROR(IF(AND(AF145&gt;0,(TODAY()-AF145)&lt;36*365.25/12),2400/((TODAY()-AF145)/30.44/6+1),0),0)+IFERROR(IF(AND(AG145&gt;0,(TODAY()-AG145)&lt;36*365.25/12),2400/((TODAY()-AG145)/30.44/6+1),0),0),0)</f>
        <v>0</v>
      </c>
      <c r="AB145" s="4" t="n">
        <f aca="false">COUNTA(AC145:AG145)</f>
        <v>0</v>
      </c>
      <c r="AY145" s="1" t="n">
        <v>145</v>
      </c>
    </row>
    <row r="146" customFormat="false" ht="15" hidden="false" customHeight="true" outlineLevel="0" collapsed="false">
      <c r="B146" s="1" t="n">
        <v>146</v>
      </c>
      <c r="L146" s="4" t="n">
        <f aca="true">YEAR(TODAY())-H146</f>
        <v>2026</v>
      </c>
      <c r="N146" s="4" t="n">
        <f aca="true">O146+IF(AT146=1,480,0)+AA146+IF(K146="M",IF(AH146&gt;0,IF((TODAY()-AH146)/30.44&lt;6,2400,IF((TODAY()-AH146)/30.44&lt;12,1200,0)),0),0)+IF(AP146&gt;0,AP146,0)-R146-T146-S146-U146</f>
        <v>450</v>
      </c>
      <c r="O146" s="4" t="n">
        <f aca="true">IF(X146=1,1200,IF(YEAR(TODAY())-H146&lt;18,0,IF(YEAR(TODAY())-H146&lt;65,300,450)))</f>
        <v>450</v>
      </c>
      <c r="R146" s="4" t="n">
        <f aca="false">IF(MIN(AM146+IF(ISNUMBER(AN146),AN146,0),16000)&gt;=600,(MIN(AM146+IF(ISNUMBER(AN146),AN146,0),16000)-600)^0.8/10000*MIN(AM146+IF(ISNUMBER(AN146),AN146,0),16000),0)</f>
        <v>0</v>
      </c>
      <c r="S146" s="4" t="n">
        <f aca="false">IF(AB146=0,0,IF(AB146=1,30,IF(AB146=2,60,IF(AB146=3,120,IF(AB146=4,180,240)))))</f>
        <v>0</v>
      </c>
      <c r="T146" s="4" t="n">
        <f aca="false">IF(Y146&gt;0,Y146*600/MAX(1,Z146),0)</f>
        <v>0</v>
      </c>
      <c r="U146" s="4" t="n">
        <f aca="false">IF(AW146&gt;0,AW146*1000000*MAX(0,MIN(22,1+LOG10(AW146)))/100/12,0)</f>
        <v>0</v>
      </c>
      <c r="AA146" s="4" t="n">
        <f aca="true">IF(K146="W",IFERROR(IF(AND(AC146&gt;0,(TODAY()-AC146)&lt;36*365.25/12),2400/((TODAY()-AC146)/30.44/6+1),0),0)+IFERROR(IF(AND(AD146&gt;0,(TODAY()-AD146)&lt;36*365.25/12),2400/((TODAY()-AD146)/30.44/6+1),0),0)+IFERROR(IF(AND(AE146&gt;0,(TODAY()-AE146)&lt;36*365.25/12),2400/((TODAY()-AE146)/30.44/6+1),0),0)+IFERROR(IF(AND(AF146&gt;0,(TODAY()-AF146)&lt;36*365.25/12),2400/((TODAY()-AF146)/30.44/6+1),0),0)+IFERROR(IF(AND(AG146&gt;0,(TODAY()-AG146)&lt;36*365.25/12),2400/((TODAY()-AG146)/30.44/6+1),0),0),0)</f>
        <v>0</v>
      </c>
      <c r="AB146" s="4" t="n">
        <f aca="false">COUNTA(AC146:AG146)</f>
        <v>0</v>
      </c>
      <c r="AY146" s="1" t="n">
        <v>146</v>
      </c>
    </row>
    <row r="147" customFormat="false" ht="15" hidden="false" customHeight="true" outlineLevel="0" collapsed="false">
      <c r="B147" s="1" t="n">
        <v>147</v>
      </c>
      <c r="L147" s="4" t="n">
        <f aca="true">YEAR(TODAY())-H147</f>
        <v>2026</v>
      </c>
      <c r="N147" s="4" t="n">
        <f aca="true">O147+IF(AT147=1,480,0)+AA147+IF(K147="M",IF(AH147&gt;0,IF((TODAY()-AH147)/30.44&lt;6,2400,IF((TODAY()-AH147)/30.44&lt;12,1200,0)),0),0)+IF(AP147&gt;0,AP147,0)-R147-T147-S147-U147</f>
        <v>450</v>
      </c>
      <c r="O147" s="4" t="n">
        <f aca="true">IF(X147=1,1200,IF(YEAR(TODAY())-H147&lt;18,0,IF(YEAR(TODAY())-H147&lt;65,300,450)))</f>
        <v>450</v>
      </c>
      <c r="R147" s="4" t="n">
        <f aca="false">IF(MIN(AM147+IF(ISNUMBER(AN147),AN147,0),16000)&gt;=600,(MIN(AM147+IF(ISNUMBER(AN147),AN147,0),16000)-600)^0.8/10000*MIN(AM147+IF(ISNUMBER(AN147),AN147,0),16000),0)</f>
        <v>0</v>
      </c>
      <c r="S147" s="4" t="n">
        <f aca="false">IF(AB147=0,0,IF(AB147=1,30,IF(AB147=2,60,IF(AB147=3,120,IF(AB147=4,180,240)))))</f>
        <v>0</v>
      </c>
      <c r="T147" s="4" t="n">
        <f aca="false">IF(Y147&gt;0,Y147*600/MAX(1,Z147),0)</f>
        <v>0</v>
      </c>
      <c r="U147" s="4" t="n">
        <f aca="false">IF(AW147&gt;0,AW147*1000000*MAX(0,MIN(22,1+LOG10(AW147)))/100/12,0)</f>
        <v>0</v>
      </c>
      <c r="AA147" s="4" t="n">
        <f aca="true">IF(K147="W",IFERROR(IF(AND(AC147&gt;0,(TODAY()-AC147)&lt;36*365.25/12),2400/((TODAY()-AC147)/30.44/6+1),0),0)+IFERROR(IF(AND(AD147&gt;0,(TODAY()-AD147)&lt;36*365.25/12),2400/((TODAY()-AD147)/30.44/6+1),0),0)+IFERROR(IF(AND(AE147&gt;0,(TODAY()-AE147)&lt;36*365.25/12),2400/((TODAY()-AE147)/30.44/6+1),0),0)+IFERROR(IF(AND(AF147&gt;0,(TODAY()-AF147)&lt;36*365.25/12),2400/((TODAY()-AF147)/30.44/6+1),0),0)+IFERROR(IF(AND(AG147&gt;0,(TODAY()-AG147)&lt;36*365.25/12),2400/((TODAY()-AG147)/30.44/6+1),0),0),0)</f>
        <v>0</v>
      </c>
      <c r="AB147" s="4" t="n">
        <f aca="false">COUNTA(AC147:AG147)</f>
        <v>0</v>
      </c>
      <c r="AY147" s="1" t="n">
        <v>147</v>
      </c>
      <c r="BE147" s="1" t="s">
        <v>316</v>
      </c>
    </row>
    <row r="148" customFormat="false" ht="15" hidden="false" customHeight="true" outlineLevel="0" collapsed="false">
      <c r="B148" s="1" t="n">
        <v>148</v>
      </c>
      <c r="L148" s="4" t="n">
        <f aca="true">YEAR(TODAY())-H148</f>
        <v>2026</v>
      </c>
      <c r="N148" s="4" t="n">
        <f aca="true">O148+IF(AT148=1,480,0)+AA148+IF(K148="M",IF(AH148&gt;0,IF((TODAY()-AH148)/30.44&lt;6,2400,IF((TODAY()-AH148)/30.44&lt;12,1200,0)),0),0)+IF(AP148&gt;0,AP148,0)-R148-T148-S148-U148</f>
        <v>450</v>
      </c>
      <c r="O148" s="4" t="n">
        <f aca="true">IF(X148=1,1200,IF(YEAR(TODAY())-H148&lt;18,0,IF(YEAR(TODAY())-H148&lt;65,300,450)))</f>
        <v>450</v>
      </c>
      <c r="R148" s="4" t="n">
        <f aca="false">IF(MIN(AM148+IF(ISNUMBER(AN148),AN148,0),16000)&gt;=600,(MIN(AM148+IF(ISNUMBER(AN148),AN148,0),16000)-600)^0.8/10000*MIN(AM148+IF(ISNUMBER(AN148),AN148,0),16000),0)</f>
        <v>0</v>
      </c>
      <c r="S148" s="4" t="n">
        <f aca="false">IF(AB148=0,0,IF(AB148=1,30,IF(AB148=2,60,IF(AB148=3,120,IF(AB148=4,180,240)))))</f>
        <v>0</v>
      </c>
      <c r="T148" s="4" t="n">
        <f aca="false">IF(Y148&gt;0,Y148*600/MAX(1,Z148),0)</f>
        <v>0</v>
      </c>
      <c r="U148" s="4" t="n">
        <f aca="false">IF(AW148&gt;0,AW148*1000000*MAX(0,MIN(22,1+LOG10(AW148)))/100/12,0)</f>
        <v>0</v>
      </c>
      <c r="AA148" s="4" t="n">
        <f aca="true">IF(K148="W",IFERROR(IF(AND(AC148&gt;0,(TODAY()-AC148)&lt;36*365.25/12),2400/((TODAY()-AC148)/30.44/6+1),0),0)+IFERROR(IF(AND(AD148&gt;0,(TODAY()-AD148)&lt;36*365.25/12),2400/((TODAY()-AD148)/30.44/6+1),0),0)+IFERROR(IF(AND(AE148&gt;0,(TODAY()-AE148)&lt;36*365.25/12),2400/((TODAY()-AE148)/30.44/6+1),0),0)+IFERROR(IF(AND(AF148&gt;0,(TODAY()-AF148)&lt;36*365.25/12),2400/((TODAY()-AF148)/30.44/6+1),0),0)+IFERROR(IF(AND(AG148&gt;0,(TODAY()-AG148)&lt;36*365.25/12),2400/((TODAY()-AG148)/30.44/6+1),0),0),0)</f>
        <v>0</v>
      </c>
      <c r="AB148" s="4" t="n">
        <f aca="false">COUNTA(AC148:AG148)</f>
        <v>0</v>
      </c>
      <c r="AY148" s="1" t="n">
        <v>148</v>
      </c>
      <c r="BE148" s="1" t="s">
        <v>317</v>
      </c>
      <c r="BF148" s="1" t="s">
        <v>318</v>
      </c>
    </row>
    <row r="149" customFormat="false" ht="15" hidden="false" customHeight="true" outlineLevel="0" collapsed="false">
      <c r="B149" s="1" t="n">
        <v>149</v>
      </c>
      <c r="L149" s="4" t="n">
        <f aca="true">YEAR(TODAY())-H149</f>
        <v>2026</v>
      </c>
      <c r="N149" s="4" t="n">
        <f aca="true">O149+IF(AT149=1,480,0)+AA149+IF(K149="M",IF(AH149&gt;0,IF((TODAY()-AH149)/30.44&lt;6,2400,IF((TODAY()-AH149)/30.44&lt;12,1200,0)),0),0)+IF(AP149&gt;0,AP149,0)-R149-T149-S149-U149</f>
        <v>450</v>
      </c>
      <c r="O149" s="4" t="n">
        <f aca="true">IF(X149=1,1200,IF(YEAR(TODAY())-H149&lt;18,0,IF(YEAR(TODAY())-H149&lt;65,300,450)))</f>
        <v>450</v>
      </c>
      <c r="R149" s="4" t="n">
        <f aca="false">IF(MIN(AM149+IF(ISNUMBER(AN149),AN149,0),16000)&gt;=600,(MIN(AM149+IF(ISNUMBER(AN149),AN149,0),16000)-600)^0.8/10000*MIN(AM149+IF(ISNUMBER(AN149),AN149,0),16000),0)</f>
        <v>0</v>
      </c>
      <c r="S149" s="4" t="n">
        <f aca="false">IF(AB149=0,0,IF(AB149=1,30,IF(AB149=2,60,IF(AB149=3,120,IF(AB149=4,180,240)))))</f>
        <v>0</v>
      </c>
      <c r="T149" s="4" t="n">
        <f aca="false">IF(Y149&gt;0,Y149*600/MAX(1,Z149),0)</f>
        <v>0</v>
      </c>
      <c r="U149" s="4" t="n">
        <f aca="false">IF(AW149&gt;0,AW149*1000000*MAX(0,MIN(22,1+LOG10(AW149)))/100/12,0)</f>
        <v>0</v>
      </c>
      <c r="AA149" s="4" t="n">
        <f aca="true">IF(K149="W",IFERROR(IF(AND(AC149&gt;0,(TODAY()-AC149)&lt;36*365.25/12),2400/((TODAY()-AC149)/30.44/6+1),0),0)+IFERROR(IF(AND(AD149&gt;0,(TODAY()-AD149)&lt;36*365.25/12),2400/((TODAY()-AD149)/30.44/6+1),0),0)+IFERROR(IF(AND(AE149&gt;0,(TODAY()-AE149)&lt;36*365.25/12),2400/((TODAY()-AE149)/30.44/6+1),0),0)+IFERROR(IF(AND(AF149&gt;0,(TODAY()-AF149)&lt;36*365.25/12),2400/((TODAY()-AF149)/30.44/6+1),0),0)+IFERROR(IF(AND(AG149&gt;0,(TODAY()-AG149)&lt;36*365.25/12),2400/((TODAY()-AG149)/30.44/6+1),0),0),0)</f>
        <v>0</v>
      </c>
      <c r="AB149" s="4" t="n">
        <f aca="false">COUNTA(AC149:AG149)</f>
        <v>0</v>
      </c>
      <c r="AY149" s="1" t="n">
        <v>149</v>
      </c>
      <c r="BE149" s="1" t="n">
        <v>0</v>
      </c>
    </row>
    <row r="150" customFormat="false" ht="15" hidden="false" customHeight="true" outlineLevel="0" collapsed="false">
      <c r="B150" s="1" t="s">
        <v>1</v>
      </c>
      <c r="E150" s="1" t="s">
        <v>4</v>
      </c>
      <c r="F150" s="1" t="s">
        <v>5</v>
      </c>
      <c r="G150" s="1" t="s">
        <v>6</v>
      </c>
      <c r="H150" s="1" t="s">
        <v>7</v>
      </c>
      <c r="I150" s="1" t="s">
        <v>8</v>
      </c>
      <c r="J150" s="1" t="s">
        <v>9</v>
      </c>
      <c r="K150" s="1" t="s">
        <v>10</v>
      </c>
      <c r="L150" s="1" t="s">
        <v>11</v>
      </c>
      <c r="M150" s="1" t="s">
        <v>12</v>
      </c>
      <c r="N150" s="1" t="s">
        <v>13</v>
      </c>
      <c r="O150" s="1" t="s">
        <v>14</v>
      </c>
      <c r="P150" s="1" t="s">
        <v>15</v>
      </c>
      <c r="Q150" s="1" t="s">
        <v>16</v>
      </c>
      <c r="R150" s="1" t="s">
        <v>17</v>
      </c>
      <c r="S150" s="1" t="s">
        <v>18</v>
      </c>
      <c r="T150" s="1" t="s">
        <v>19</v>
      </c>
      <c r="U150" s="1" t="s">
        <v>20</v>
      </c>
      <c r="V150" s="1" t="s">
        <v>21</v>
      </c>
      <c r="W150" s="1" t="s">
        <v>22</v>
      </c>
      <c r="X150" s="1" t="s">
        <v>23</v>
      </c>
      <c r="Y150" s="1" t="s">
        <v>19</v>
      </c>
      <c r="Z150" s="1" t="s">
        <v>24</v>
      </c>
      <c r="AA150" s="1" t="s">
        <v>25</v>
      </c>
      <c r="AB150" s="1" t="s">
        <v>26</v>
      </c>
      <c r="AC150" s="1" t="s">
        <v>27</v>
      </c>
      <c r="AD150" s="1" t="s">
        <v>28</v>
      </c>
      <c r="AE150" s="1" t="s">
        <v>29</v>
      </c>
      <c r="AF150" s="1" t="s">
        <v>30</v>
      </c>
      <c r="AG150" s="1" t="s">
        <v>31</v>
      </c>
      <c r="AH150" s="1" t="s">
        <v>32</v>
      </c>
      <c r="AI150" s="1" t="s">
        <v>33</v>
      </c>
      <c r="AJ150" s="1" t="s">
        <v>34</v>
      </c>
      <c r="AK150" s="1" t="s">
        <v>35</v>
      </c>
      <c r="AL150" s="1" t="s">
        <v>17</v>
      </c>
      <c r="AM150" s="1" t="s">
        <v>36</v>
      </c>
      <c r="AN150" s="1" t="s">
        <v>37</v>
      </c>
      <c r="AO150" s="1" t="s">
        <v>38</v>
      </c>
      <c r="AS150" s="1" t="s">
        <v>41</v>
      </c>
      <c r="AT150" s="1" t="s">
        <v>42</v>
      </c>
      <c r="AU150" s="1" t="s">
        <v>43</v>
      </c>
      <c r="AV150" s="1" t="s">
        <v>44</v>
      </c>
      <c r="AW150" s="1" t="s">
        <v>45</v>
      </c>
      <c r="AX150" s="1" t="s">
        <v>46</v>
      </c>
      <c r="AY150" s="1" t="s">
        <v>1</v>
      </c>
      <c r="AZ150" s="1" t="s">
        <v>12</v>
      </c>
      <c r="BE150" s="1" t="n">
        <v>1</v>
      </c>
    </row>
    <row r="151" customFormat="false" ht="15" hidden="false" customHeight="true" outlineLevel="0" collapsed="false">
      <c r="B151" s="1" t="n">
        <v>151</v>
      </c>
      <c r="L151" s="4" t="n">
        <f aca="true">YEAR(TODAY())-H151</f>
        <v>2026</v>
      </c>
      <c r="N151" s="4" t="n">
        <f aca="true">O151+IF(AT151=1,480,0)+AA151+IF(K151="M",IF(AH151&gt;0,IF((TODAY()-AH151)/30.44&lt;6,2400,IF((TODAY()-AH151)/30.44&lt;12,1200,0)),0),0)+IF(AP151&gt;0,AP151,0)-R151-T151-S151-U151</f>
        <v>450</v>
      </c>
      <c r="O151" s="4" t="n">
        <f aca="true">IF(X151=1,1200,IF(YEAR(TODAY())-H151&lt;18,0,IF(YEAR(TODAY())-H151&lt;65,300,450)))</f>
        <v>450</v>
      </c>
      <c r="R151" s="4" t="n">
        <f aca="false">IF(MIN(AM151+IF(ISNUMBER(AN151),AN151,0),16000)&gt;=600,(MIN(AM151+IF(ISNUMBER(AN151),AN151,0),16000)-600)^0.8/10000*MIN(AM151+IF(ISNUMBER(AN151),AN151,0),16000),0)</f>
        <v>0</v>
      </c>
      <c r="S151" s="4" t="n">
        <f aca="false">IF(AB151=0,0,IF(AB151=1,30,IF(AB151=2,60,IF(AB151=3,120,IF(AB151=4,180,240)))))</f>
        <v>0</v>
      </c>
      <c r="T151" s="4" t="n">
        <f aca="false">IF(Y151&gt;0,Y151*600/MAX(1,Z151),0)</f>
        <v>0</v>
      </c>
      <c r="U151" s="4" t="n">
        <f aca="false">IF(AW151&gt;0,AW151*1000000*MAX(0,MIN(22,1+LOG10(AW151)))/100/12,0)</f>
        <v>0</v>
      </c>
      <c r="AA151" s="4" t="n">
        <f aca="true">IF(K151="W",IFERROR(IF(AND(AC151&gt;0,(TODAY()-AC151)&lt;36*365.25/12),2400/((TODAY()-AC151)/30.44/6+1),0),0)+IFERROR(IF(AND(AD151&gt;0,(TODAY()-AD151)&lt;36*365.25/12),2400/((TODAY()-AD151)/30.44/6+1),0),0)+IFERROR(IF(AND(AE151&gt;0,(TODAY()-AE151)&lt;36*365.25/12),2400/((TODAY()-AE151)/30.44/6+1),0),0)+IFERROR(IF(AND(AF151&gt;0,(TODAY()-AF151)&lt;36*365.25/12),2400/((TODAY()-AF151)/30.44/6+1),0),0)+IFERROR(IF(AND(AG151&gt;0,(TODAY()-AG151)&lt;36*365.25/12),2400/((TODAY()-AG151)/30.44/6+1),0),0),0)</f>
        <v>0</v>
      </c>
      <c r="AB151" s="4" t="n">
        <f aca="false">COUNTA(AC151:AG151)</f>
        <v>0</v>
      </c>
      <c r="AY151" s="1" t="n">
        <v>151</v>
      </c>
      <c r="BE151" s="1" t="n">
        <v>2</v>
      </c>
    </row>
    <row r="152" customFormat="false" ht="15" hidden="false" customHeight="true" outlineLevel="0" collapsed="false">
      <c r="B152" s="1" t="n">
        <v>152</v>
      </c>
      <c r="L152" s="4" t="n">
        <f aca="true">YEAR(TODAY())-H152</f>
        <v>2026</v>
      </c>
      <c r="N152" s="4" t="n">
        <f aca="true">O152+IF(AT152=1,480,0)+AA152+IF(K152="M",IF(AH152&gt;0,IF((TODAY()-AH152)/30.44&lt;6,2400,IF((TODAY()-AH152)/30.44&lt;12,1200,0)),0),0)+IF(AP152&gt;0,AP152,0)-R152-T152-S152-U152</f>
        <v>450</v>
      </c>
      <c r="O152" s="4" t="n">
        <f aca="true">IF(X152=1,1200,IF(YEAR(TODAY())-H152&lt;18,0,IF(YEAR(TODAY())-H152&lt;65,300,450)))</f>
        <v>450</v>
      </c>
      <c r="R152" s="4" t="n">
        <f aca="false">IF(MIN(AM152+IF(ISNUMBER(AN152),AN152,0),16000)&gt;=600,(MIN(AM152+IF(ISNUMBER(AN152),AN152,0),16000)-600)^0.8/10000*MIN(AM152+IF(ISNUMBER(AN152),AN152,0),16000),0)</f>
        <v>0</v>
      </c>
      <c r="S152" s="4" t="n">
        <f aca="false">IF(AB152=0,0,IF(AB152=1,30,IF(AB152=2,60,IF(AB152=3,120,IF(AB152=4,180,240)))))</f>
        <v>0</v>
      </c>
      <c r="T152" s="4" t="n">
        <f aca="false">IF(Y152&gt;0,Y152*600/MAX(1,Z152),0)</f>
        <v>0</v>
      </c>
      <c r="U152" s="4" t="n">
        <f aca="false">IF(AW152&gt;0,AW152*1000000*MAX(0,MIN(22,1+LOG10(AW152)))/100/12,0)</f>
        <v>0</v>
      </c>
      <c r="AA152" s="4" t="n">
        <f aca="true">IF(K152="W",IFERROR(IF(AND(AC152&gt;0,(TODAY()-AC152)&lt;36*365.25/12),2400/((TODAY()-AC152)/30.44/6+1),0),0)+IFERROR(IF(AND(AD152&gt;0,(TODAY()-AD152)&lt;36*365.25/12),2400/((TODAY()-AD152)/30.44/6+1),0),0)+IFERROR(IF(AND(AE152&gt;0,(TODAY()-AE152)&lt;36*365.25/12),2400/((TODAY()-AE152)/30.44/6+1),0),0)+IFERROR(IF(AND(AF152&gt;0,(TODAY()-AF152)&lt;36*365.25/12),2400/((TODAY()-AF152)/30.44/6+1),0),0)+IFERROR(IF(AND(AG152&gt;0,(TODAY()-AG152)&lt;36*365.25/12),2400/((TODAY()-AG152)/30.44/6+1),0),0),0)</f>
        <v>0</v>
      </c>
      <c r="AB152" s="4" t="n">
        <f aca="false">COUNTA(AC152:AG152)</f>
        <v>0</v>
      </c>
      <c r="AY152" s="1" t="n">
        <v>152</v>
      </c>
      <c r="BE152" s="1" t="n">
        <v>3</v>
      </c>
    </row>
    <row r="153" customFormat="false" ht="15" hidden="false" customHeight="true" outlineLevel="0" collapsed="false">
      <c r="B153" s="1" t="n">
        <v>153</v>
      </c>
      <c r="L153" s="4" t="n">
        <f aca="true">YEAR(TODAY())-H153</f>
        <v>2026</v>
      </c>
      <c r="N153" s="4" t="n">
        <f aca="true">O153+IF(AT153=1,480,0)+AA153+IF(K153="M",IF(AH153&gt;0,IF((TODAY()-AH153)/30.44&lt;6,2400,IF((TODAY()-AH153)/30.44&lt;12,1200,0)),0),0)+IF(AP153&gt;0,AP153,0)-R153-T153-S153-U153</f>
        <v>450</v>
      </c>
      <c r="O153" s="4" t="n">
        <f aca="true">IF(X153=1,1200,IF(YEAR(TODAY())-H153&lt;18,0,IF(YEAR(TODAY())-H153&lt;65,300,450)))</f>
        <v>450</v>
      </c>
      <c r="R153" s="4" t="n">
        <f aca="false">IF(MIN(AM153+IF(ISNUMBER(AN153),AN153,0),16000)&gt;=600,(MIN(AM153+IF(ISNUMBER(AN153),AN153,0),16000)-600)^0.8/10000*MIN(AM153+IF(ISNUMBER(AN153),AN153,0),16000),0)</f>
        <v>0</v>
      </c>
      <c r="S153" s="4" t="n">
        <f aca="false">IF(AB153=0,0,IF(AB153=1,30,IF(AB153=2,60,IF(AB153=3,120,IF(AB153=4,180,240)))))</f>
        <v>0</v>
      </c>
      <c r="T153" s="4" t="n">
        <f aca="false">IF(Y153&gt;0,Y153*600/MAX(1,Z153),0)</f>
        <v>0</v>
      </c>
      <c r="U153" s="4" t="n">
        <f aca="false">IF(AW153&gt;0,AW153*1000000*MAX(0,MIN(22,1+LOG10(AW153)))/100/12,0)</f>
        <v>0</v>
      </c>
      <c r="AA153" s="4" t="n">
        <f aca="true">IF(K153="W",IFERROR(IF(AND(AC153&gt;0,(TODAY()-AC153)&lt;36*365.25/12),2400/((TODAY()-AC153)/30.44/6+1),0),0)+IFERROR(IF(AND(AD153&gt;0,(TODAY()-AD153)&lt;36*365.25/12),2400/((TODAY()-AD153)/30.44/6+1),0),0)+IFERROR(IF(AND(AE153&gt;0,(TODAY()-AE153)&lt;36*365.25/12),2400/((TODAY()-AE153)/30.44/6+1),0),0)+IFERROR(IF(AND(AF153&gt;0,(TODAY()-AF153)&lt;36*365.25/12),2400/((TODAY()-AF153)/30.44/6+1),0),0)+IFERROR(IF(AND(AG153&gt;0,(TODAY()-AG153)&lt;36*365.25/12),2400/((TODAY()-AG153)/30.44/6+1),0),0),0)</f>
        <v>0</v>
      </c>
      <c r="AB153" s="4" t="n">
        <f aca="false">COUNTA(AC153:AG153)</f>
        <v>0</v>
      </c>
      <c r="AY153" s="1" t="n">
        <v>153</v>
      </c>
      <c r="BE153" s="1" t="n">
        <v>4</v>
      </c>
    </row>
    <row r="154" customFormat="false" ht="15" hidden="false" customHeight="true" outlineLevel="0" collapsed="false">
      <c r="B154" s="1" t="n">
        <v>154</v>
      </c>
      <c r="L154" s="4" t="n">
        <f aca="true">YEAR(TODAY())-H154</f>
        <v>2026</v>
      </c>
      <c r="N154" s="4" t="n">
        <f aca="true">O154+IF(AT154=1,480,0)+AA154+IF(K154="M",IF(AH154&gt;0,IF((TODAY()-AH154)/30.44&lt;6,2400,IF((TODAY()-AH154)/30.44&lt;12,1200,0)),0),0)+IF(AP154&gt;0,AP154,0)-R154-T154-S154-U154</f>
        <v>450</v>
      </c>
      <c r="O154" s="4" t="n">
        <f aca="true">IF(X154=1,1200,IF(YEAR(TODAY())-H154&lt;18,0,IF(YEAR(TODAY())-H154&lt;65,300,450)))</f>
        <v>450</v>
      </c>
      <c r="R154" s="4" t="n">
        <f aca="false">IF(MIN(AM154+IF(ISNUMBER(AN154),AN154,0),16000)&gt;=600,(MIN(AM154+IF(ISNUMBER(AN154),AN154,0),16000)-600)^0.8/10000*MIN(AM154+IF(ISNUMBER(AN154),AN154,0),16000),0)</f>
        <v>0</v>
      </c>
      <c r="S154" s="4" t="n">
        <f aca="false">IF(AB154=0,0,IF(AB154=1,30,IF(AB154=2,60,IF(AB154=3,120,IF(AB154=4,180,240)))))</f>
        <v>0</v>
      </c>
      <c r="T154" s="4" t="n">
        <f aca="false">IF(Y154&gt;0,Y154*600/MAX(1,Z154),0)</f>
        <v>0</v>
      </c>
      <c r="U154" s="4" t="n">
        <f aca="false">IF(AW154&gt;0,AW154*1000000*MAX(0,MIN(22,1+LOG10(AW154)))/100/12,0)</f>
        <v>0</v>
      </c>
      <c r="AA154" s="4" t="n">
        <f aca="true">IF(K154="W",IFERROR(IF(AND(AC154&gt;0,(TODAY()-AC154)&lt;36*365.25/12),2400/((TODAY()-AC154)/30.44/6+1),0),0)+IFERROR(IF(AND(AD154&gt;0,(TODAY()-AD154)&lt;36*365.25/12),2400/((TODAY()-AD154)/30.44/6+1),0),0)+IFERROR(IF(AND(AE154&gt;0,(TODAY()-AE154)&lt;36*365.25/12),2400/((TODAY()-AE154)/30.44/6+1),0),0)+IFERROR(IF(AND(AF154&gt;0,(TODAY()-AF154)&lt;36*365.25/12),2400/((TODAY()-AF154)/30.44/6+1),0),0)+IFERROR(IF(AND(AG154&gt;0,(TODAY()-AG154)&lt;36*365.25/12),2400/((TODAY()-AG154)/30.44/6+1),0),0),0)</f>
        <v>0</v>
      </c>
      <c r="AB154" s="4" t="n">
        <f aca="false">COUNTA(AC154:AG154)</f>
        <v>0</v>
      </c>
      <c r="AY154" s="1" t="n">
        <v>154</v>
      </c>
      <c r="BE154" s="1" t="n">
        <v>5</v>
      </c>
    </row>
    <row r="155" customFormat="false" ht="15" hidden="false" customHeight="true" outlineLevel="0" collapsed="false">
      <c r="B155" s="1" t="n">
        <v>155</v>
      </c>
      <c r="L155" s="4" t="n">
        <f aca="true">YEAR(TODAY())-H155</f>
        <v>2026</v>
      </c>
      <c r="N155" s="4" t="n">
        <f aca="true">O155+IF(AT155=1,480,0)+AA155+IF(K155="M",IF(AH155&gt;0,IF((TODAY()-AH155)/30.44&lt;6,2400,IF((TODAY()-AH155)/30.44&lt;12,1200,0)),0),0)+IF(AP155&gt;0,AP155,0)-R155-T155-S155-U155</f>
        <v>450</v>
      </c>
      <c r="O155" s="4" t="n">
        <f aca="true">IF(X155=1,1200,IF(YEAR(TODAY())-H155&lt;18,0,IF(YEAR(TODAY())-H155&lt;65,300,450)))</f>
        <v>450</v>
      </c>
      <c r="R155" s="4" t="n">
        <f aca="false">IF(MIN(AM155+IF(ISNUMBER(AN155),AN155,0),16000)&gt;=600,(MIN(AM155+IF(ISNUMBER(AN155),AN155,0),16000)-600)^0.8/10000*MIN(AM155+IF(ISNUMBER(AN155),AN155,0),16000),0)</f>
        <v>0</v>
      </c>
      <c r="S155" s="4" t="n">
        <f aca="false">IF(AB155=0,0,IF(AB155=1,30,IF(AB155=2,60,IF(AB155=3,120,IF(AB155=4,180,240)))))</f>
        <v>0</v>
      </c>
      <c r="T155" s="4" t="n">
        <f aca="false">IF(Y155&gt;0,Y155*600/MAX(1,Z155),0)</f>
        <v>0</v>
      </c>
      <c r="U155" s="4" t="n">
        <f aca="false">IF(AW155&gt;0,AW155*1000000*MAX(0,MIN(22,1+LOG10(AW155)))/100/12,0)</f>
        <v>0</v>
      </c>
      <c r="AA155" s="4" t="n">
        <f aca="true">IF(K155="W",IFERROR(IF(AND(AC155&gt;0,(TODAY()-AC155)&lt;36*365.25/12),2400/((TODAY()-AC155)/30.44/6+1),0),0)+IFERROR(IF(AND(AD155&gt;0,(TODAY()-AD155)&lt;36*365.25/12),2400/((TODAY()-AD155)/30.44/6+1),0),0)+IFERROR(IF(AND(AE155&gt;0,(TODAY()-AE155)&lt;36*365.25/12),2400/((TODAY()-AE155)/30.44/6+1),0),0)+IFERROR(IF(AND(AF155&gt;0,(TODAY()-AF155)&lt;36*365.25/12),2400/((TODAY()-AF155)/30.44/6+1),0),0)+IFERROR(IF(AND(AG155&gt;0,(TODAY()-AG155)&lt;36*365.25/12),2400/((TODAY()-AG155)/30.44/6+1),0),0),0)</f>
        <v>0</v>
      </c>
      <c r="AB155" s="4" t="n">
        <f aca="false">COUNTA(AC155:AG155)</f>
        <v>0</v>
      </c>
      <c r="AY155" s="1" t="n">
        <v>155</v>
      </c>
      <c r="BE155" s="1" t="n">
        <v>6</v>
      </c>
    </row>
    <row r="156" customFormat="false" ht="15" hidden="false" customHeight="true" outlineLevel="0" collapsed="false">
      <c r="B156" s="1" t="n">
        <v>156</v>
      </c>
      <c r="L156" s="4" t="n">
        <f aca="true">YEAR(TODAY())-H156</f>
        <v>2026</v>
      </c>
      <c r="N156" s="4" t="n">
        <f aca="true">O156+IF(AT156=1,480,0)+AA156+IF(K156="M",IF(AH156&gt;0,IF((TODAY()-AH156)/30.44&lt;6,2400,IF((TODAY()-AH156)/30.44&lt;12,1200,0)),0),0)+IF(AP156&gt;0,AP156,0)-R156-T156-S156-U156</f>
        <v>450</v>
      </c>
      <c r="O156" s="4" t="n">
        <f aca="true">IF(X156=1,1200,IF(YEAR(TODAY())-H156&lt;18,0,IF(YEAR(TODAY())-H156&lt;65,300,450)))</f>
        <v>450</v>
      </c>
      <c r="R156" s="4" t="n">
        <f aca="false">IF(MIN(AM156+IF(ISNUMBER(AN156),AN156,0),16000)&gt;=600,(MIN(AM156+IF(ISNUMBER(AN156),AN156,0),16000)-600)^0.8/10000*MIN(AM156+IF(ISNUMBER(AN156),AN156,0),16000),0)</f>
        <v>0</v>
      </c>
      <c r="S156" s="4" t="n">
        <f aca="false">IF(AB156=0,0,IF(AB156=1,30,IF(AB156=2,60,IF(AB156=3,120,IF(AB156=4,180,240)))))</f>
        <v>0</v>
      </c>
      <c r="T156" s="4" t="n">
        <f aca="false">IF(Y156&gt;0,Y156*600/MAX(1,Z156),0)</f>
        <v>0</v>
      </c>
      <c r="U156" s="4" t="n">
        <f aca="false">IF(AW156&gt;0,AW156*1000000*MAX(0,MIN(22,1+LOG10(AW156)))/100/12,0)</f>
        <v>0</v>
      </c>
      <c r="AA156" s="4" t="n">
        <f aca="true">IF(K156="W",IFERROR(IF(AND(AC156&gt;0,(TODAY()-AC156)&lt;36*365.25/12),2400/((TODAY()-AC156)/30.44/6+1),0),0)+IFERROR(IF(AND(AD156&gt;0,(TODAY()-AD156)&lt;36*365.25/12),2400/((TODAY()-AD156)/30.44/6+1),0),0)+IFERROR(IF(AND(AE156&gt;0,(TODAY()-AE156)&lt;36*365.25/12),2400/((TODAY()-AE156)/30.44/6+1),0),0)+IFERROR(IF(AND(AF156&gt;0,(TODAY()-AF156)&lt;36*365.25/12),2400/((TODAY()-AF156)/30.44/6+1),0),0)+IFERROR(IF(AND(AG156&gt;0,(TODAY()-AG156)&lt;36*365.25/12),2400/((TODAY()-AG156)/30.44/6+1),0),0),0)</f>
        <v>0</v>
      </c>
      <c r="AB156" s="4" t="n">
        <f aca="false">COUNTA(AC156:AG156)</f>
        <v>0</v>
      </c>
      <c r="AY156" s="1" t="n">
        <v>156</v>
      </c>
    </row>
    <row r="157" customFormat="false" ht="15" hidden="false" customHeight="true" outlineLevel="0" collapsed="false">
      <c r="B157" s="1" t="n">
        <v>157</v>
      </c>
      <c r="L157" s="4" t="n">
        <f aca="true">YEAR(TODAY())-H157</f>
        <v>2026</v>
      </c>
      <c r="N157" s="4" t="n">
        <f aca="true">O157+IF(AT157=1,480,0)+AA157+IF(K157="M",IF(AH157&gt;0,IF((TODAY()-AH157)/30.44&lt;6,2400,IF((TODAY()-AH157)/30.44&lt;12,1200,0)),0),0)+IF(AP157&gt;0,AP157,0)-R157-T157-S157-U157</f>
        <v>450</v>
      </c>
      <c r="O157" s="4" t="n">
        <f aca="true">IF(X157=1,1200,IF(YEAR(TODAY())-H157&lt;18,0,IF(YEAR(TODAY())-H157&lt;65,300,450)))</f>
        <v>450</v>
      </c>
      <c r="R157" s="4" t="n">
        <f aca="false">IF(MIN(AM157+IF(ISNUMBER(AN157),AN157,0),16000)&gt;=600,(MIN(AM157+IF(ISNUMBER(AN157),AN157,0),16000)-600)^0.8/10000*MIN(AM157+IF(ISNUMBER(AN157),AN157,0),16000),0)</f>
        <v>0</v>
      </c>
      <c r="S157" s="4" t="n">
        <f aca="false">IF(AB157=0,0,IF(AB157=1,30,IF(AB157=2,60,IF(AB157=3,120,IF(AB157=4,180,240)))))</f>
        <v>0</v>
      </c>
      <c r="T157" s="4" t="n">
        <f aca="false">IF(Y157&gt;0,Y157*600/MAX(1,Z157),0)</f>
        <v>0</v>
      </c>
      <c r="U157" s="4" t="n">
        <f aca="false">IF(AW157&gt;0,AW157*1000000*MAX(0,MIN(22,1+LOG10(AW157)))/100/12,0)</f>
        <v>0</v>
      </c>
      <c r="AA157" s="4" t="n">
        <f aca="true">IF(K157="W",IFERROR(IF(AND(AC157&gt;0,(TODAY()-AC157)&lt;36*365.25/12),2400/((TODAY()-AC157)/30.44/6+1),0),0)+IFERROR(IF(AND(AD157&gt;0,(TODAY()-AD157)&lt;36*365.25/12),2400/((TODAY()-AD157)/30.44/6+1),0),0)+IFERROR(IF(AND(AE157&gt;0,(TODAY()-AE157)&lt;36*365.25/12),2400/((TODAY()-AE157)/30.44/6+1),0),0)+IFERROR(IF(AND(AF157&gt;0,(TODAY()-AF157)&lt;36*365.25/12),2400/((TODAY()-AF157)/30.44/6+1),0),0)+IFERROR(IF(AND(AG157&gt;0,(TODAY()-AG157)&lt;36*365.25/12),2400/((TODAY()-AG157)/30.44/6+1),0),0),0)</f>
        <v>0</v>
      </c>
      <c r="AB157" s="4" t="n">
        <f aca="false">COUNTA(AC157:AG157)</f>
        <v>0</v>
      </c>
      <c r="AY157" s="1" t="n">
        <v>157</v>
      </c>
      <c r="BD157" s="1" t="s">
        <v>319</v>
      </c>
    </row>
    <row r="158" customFormat="false" ht="15" hidden="false" customHeight="true" outlineLevel="0" collapsed="false">
      <c r="B158" s="1" t="n">
        <v>158</v>
      </c>
      <c r="L158" s="4" t="n">
        <f aca="true">YEAR(TODAY())-H158</f>
        <v>2026</v>
      </c>
      <c r="N158" s="4" t="n">
        <f aca="true">O158+IF(AT158=1,480,0)+AA158+IF(K158="M",IF(AH158&gt;0,IF((TODAY()-AH158)/30.44&lt;6,2400,IF((TODAY()-AH158)/30.44&lt;12,1200,0)),0),0)+IF(AP158&gt;0,AP158,0)-R158-T158-S158-U158</f>
        <v>450</v>
      </c>
      <c r="O158" s="4" t="n">
        <f aca="true">IF(X158=1,1200,IF(YEAR(TODAY())-H158&lt;18,0,IF(YEAR(TODAY())-H158&lt;65,300,450)))</f>
        <v>450</v>
      </c>
      <c r="R158" s="4" t="n">
        <f aca="false">IF(MIN(AM158+IF(ISNUMBER(AN158),AN158,0),16000)&gt;=600,(MIN(AM158+IF(ISNUMBER(AN158),AN158,0),16000)-600)^0.8/10000*MIN(AM158+IF(ISNUMBER(AN158),AN158,0),16000),0)</f>
        <v>0</v>
      </c>
      <c r="S158" s="4" t="n">
        <f aca="false">IF(AB158=0,0,IF(AB158=1,30,IF(AB158=2,60,IF(AB158=3,120,IF(AB158=4,180,240)))))</f>
        <v>0</v>
      </c>
      <c r="T158" s="4" t="n">
        <f aca="false">IF(Y158&gt;0,Y158*600/MAX(1,Z158),0)</f>
        <v>0</v>
      </c>
      <c r="U158" s="4" t="n">
        <f aca="false">IF(AW158&gt;0,AW158*1000000*MAX(0,MIN(22,1+LOG10(AW158)))/100/12,0)</f>
        <v>0</v>
      </c>
      <c r="AA158" s="4" t="n">
        <f aca="true">IF(K158="W",IFERROR(IF(AND(AC158&gt;0,(TODAY()-AC158)&lt;36*365.25/12),2400/((TODAY()-AC158)/30.44/6+1),0),0)+IFERROR(IF(AND(AD158&gt;0,(TODAY()-AD158)&lt;36*365.25/12),2400/((TODAY()-AD158)/30.44/6+1),0),0)+IFERROR(IF(AND(AE158&gt;0,(TODAY()-AE158)&lt;36*365.25/12),2400/((TODAY()-AE158)/30.44/6+1),0),0)+IFERROR(IF(AND(AF158&gt;0,(TODAY()-AF158)&lt;36*365.25/12),2400/((TODAY()-AF158)/30.44/6+1),0),0)+IFERROR(IF(AND(AG158&gt;0,(TODAY()-AG158)&lt;36*365.25/12),2400/((TODAY()-AG158)/30.44/6+1),0),0),0)</f>
        <v>0</v>
      </c>
      <c r="AB158" s="4" t="n">
        <f aca="false">COUNTA(AC158:AG158)</f>
        <v>0</v>
      </c>
      <c r="AY158" s="1" t="n">
        <v>158</v>
      </c>
      <c r="BD158" s="1" t="s">
        <v>320</v>
      </c>
    </row>
    <row r="159" customFormat="false" ht="15" hidden="false" customHeight="true" outlineLevel="0" collapsed="false">
      <c r="B159" s="1" t="n">
        <v>159</v>
      </c>
      <c r="L159" s="4" t="n">
        <f aca="true">YEAR(TODAY())-H159</f>
        <v>2026</v>
      </c>
      <c r="N159" s="4" t="n">
        <f aca="true">O159+IF(AT159=1,480,0)+AA159+IF(K159="M",IF(AH159&gt;0,IF((TODAY()-AH159)/30.44&lt;6,2400,IF((TODAY()-AH159)/30.44&lt;12,1200,0)),0),0)+IF(AP159&gt;0,AP159,0)-R159-T159-S159-U159</f>
        <v>450</v>
      </c>
      <c r="O159" s="4" t="n">
        <f aca="true">IF(X159=1,1200,IF(YEAR(TODAY())-H159&lt;18,0,IF(YEAR(TODAY())-H159&lt;65,300,450)))</f>
        <v>450</v>
      </c>
      <c r="R159" s="4" t="n">
        <f aca="false">IF(MIN(AM159+IF(ISNUMBER(AN159),AN159,0),16000)&gt;=600,(MIN(AM159+IF(ISNUMBER(AN159),AN159,0),16000)-600)^0.8/10000*MIN(AM159+IF(ISNUMBER(AN159),AN159,0),16000),0)</f>
        <v>0</v>
      </c>
      <c r="S159" s="4" t="n">
        <f aca="false">IF(AB159=0,0,IF(AB159=1,30,IF(AB159=2,60,IF(AB159=3,120,IF(AB159=4,180,240)))))</f>
        <v>0</v>
      </c>
      <c r="T159" s="4" t="n">
        <f aca="false">IF(Y159&gt;0,Y159*600/MAX(1,Z159),0)</f>
        <v>0</v>
      </c>
      <c r="U159" s="4" t="n">
        <f aca="false">IF(AW159&gt;0,AW159*1000000*MAX(0,MIN(22,1+LOG10(AW159)))/100/12,0)</f>
        <v>0</v>
      </c>
      <c r="AA159" s="4" t="n">
        <f aca="true">IF(K159="W",IFERROR(IF(AND(AC159&gt;0,(TODAY()-AC159)&lt;36*365.25/12),2400/((TODAY()-AC159)/30.44/6+1),0),0)+IFERROR(IF(AND(AD159&gt;0,(TODAY()-AD159)&lt;36*365.25/12),2400/((TODAY()-AD159)/30.44/6+1),0),0)+IFERROR(IF(AND(AE159&gt;0,(TODAY()-AE159)&lt;36*365.25/12),2400/((TODAY()-AE159)/30.44/6+1),0),0)+IFERROR(IF(AND(AF159&gt;0,(TODAY()-AF159)&lt;36*365.25/12),2400/((TODAY()-AF159)/30.44/6+1),0),0)+IFERROR(IF(AND(AG159&gt;0,(TODAY()-AG159)&lt;36*365.25/12),2400/((TODAY()-AG159)/30.44/6+1),0),0),0)</f>
        <v>0</v>
      </c>
      <c r="AB159" s="4" t="n">
        <f aca="false">COUNTA(AC159:AG159)</f>
        <v>0</v>
      </c>
      <c r="AY159" s="1" t="n">
        <v>159</v>
      </c>
      <c r="BD159" s="1" t="s">
        <v>321</v>
      </c>
      <c r="BE159" s="1" t="s">
        <v>322</v>
      </c>
      <c r="BF159" s="1" t="s">
        <v>323</v>
      </c>
    </row>
    <row r="160" customFormat="false" ht="15" hidden="false" customHeight="true" outlineLevel="0" collapsed="false">
      <c r="B160" s="1" t="n">
        <v>160</v>
      </c>
      <c r="L160" s="4" t="n">
        <f aca="true">YEAR(TODAY())-H160</f>
        <v>2026</v>
      </c>
      <c r="N160" s="4" t="n">
        <f aca="true">O160+IF(AT160=1,480,0)+AA160+IF(K160="M",IF(AH160&gt;0,IF((TODAY()-AH160)/30.44&lt;6,2400,IF((TODAY()-AH160)/30.44&lt;12,1200,0)),0),0)+IF(AP160&gt;0,AP160,0)-R160-T160-S160-U160</f>
        <v>450</v>
      </c>
      <c r="O160" s="4" t="n">
        <f aca="true">IF(X160=1,1200,IF(YEAR(TODAY())-H160&lt;18,0,IF(YEAR(TODAY())-H160&lt;65,300,450)))</f>
        <v>450</v>
      </c>
      <c r="R160" s="4" t="n">
        <f aca="false">IF(MIN(AM160+IF(ISNUMBER(AN160),AN160,0),16000)&gt;=600,(MIN(AM160+IF(ISNUMBER(AN160),AN160,0),16000)-600)^0.8/10000*MIN(AM160+IF(ISNUMBER(AN160),AN160,0),16000),0)</f>
        <v>0</v>
      </c>
      <c r="S160" s="4" t="n">
        <f aca="false">IF(AB160=0,0,IF(AB160=1,30,IF(AB160=2,60,IF(AB160=3,120,IF(AB160=4,180,240)))))</f>
        <v>0</v>
      </c>
      <c r="T160" s="4" t="n">
        <f aca="false">IF(Y160&gt;0,Y160*600/MAX(1,Z160),0)</f>
        <v>0</v>
      </c>
      <c r="U160" s="4" t="n">
        <f aca="false">IF(AW160&gt;0,AW160*1000000*MAX(0,MIN(22,1+LOG10(AW160)))/100/12,0)</f>
        <v>0</v>
      </c>
      <c r="AA160" s="4" t="n">
        <f aca="true">IF(K160="W",IFERROR(IF(AND(AC160&gt;0,(TODAY()-AC160)&lt;36*365.25/12),2400/((TODAY()-AC160)/30.44/6+1),0),0)+IFERROR(IF(AND(AD160&gt;0,(TODAY()-AD160)&lt;36*365.25/12),2400/((TODAY()-AD160)/30.44/6+1),0),0)+IFERROR(IF(AND(AE160&gt;0,(TODAY()-AE160)&lt;36*365.25/12),2400/((TODAY()-AE160)/30.44/6+1),0),0)+IFERROR(IF(AND(AF160&gt;0,(TODAY()-AF160)&lt;36*365.25/12),2400/((TODAY()-AF160)/30.44/6+1),0),0)+IFERROR(IF(AND(AG160&gt;0,(TODAY()-AG160)&lt;36*365.25/12),2400/((TODAY()-AG160)/30.44/6+1),0),0),0)</f>
        <v>0</v>
      </c>
      <c r="AB160" s="4" t="n">
        <f aca="false">COUNTA(AC160:AG160)</f>
        <v>0</v>
      </c>
      <c r="AY160" s="1" t="n">
        <v>160</v>
      </c>
      <c r="BD160" s="1" t="n">
        <v>1</v>
      </c>
      <c r="BE160" s="1" t="n">
        <v>1200</v>
      </c>
      <c r="BF160" s="1" t="n">
        <v>0</v>
      </c>
      <c r="BG160" s="1" t="n">
        <v>1200</v>
      </c>
    </row>
    <row r="161" customFormat="false" ht="15" hidden="false" customHeight="true" outlineLevel="0" collapsed="false">
      <c r="B161" s="1" t="n">
        <v>161</v>
      </c>
      <c r="L161" s="4" t="n">
        <f aca="true">YEAR(TODAY())-H161</f>
        <v>2026</v>
      </c>
      <c r="N161" s="4" t="n">
        <f aca="true">O161+IF(AT161=1,480,0)+AA161+IF(K161="M",IF(AH161&gt;0,IF((TODAY()-AH161)/30.44&lt;6,2400,IF((TODAY()-AH161)/30.44&lt;12,1200,0)),0),0)+IF(AP161&gt;0,AP161,0)-R161-T161-S161-U161</f>
        <v>450</v>
      </c>
      <c r="O161" s="4" t="n">
        <f aca="true">IF(X161=1,1200,IF(YEAR(TODAY())-H161&lt;18,0,IF(YEAR(TODAY())-H161&lt;65,300,450)))</f>
        <v>450</v>
      </c>
      <c r="R161" s="4" t="n">
        <f aca="false">IF(MIN(AM161+IF(ISNUMBER(AN161),AN161,0),16000)&gt;=600,(MIN(AM161+IF(ISNUMBER(AN161),AN161,0),16000)-600)^0.8/10000*MIN(AM161+IF(ISNUMBER(AN161),AN161,0),16000),0)</f>
        <v>0</v>
      </c>
      <c r="S161" s="4" t="n">
        <f aca="false">IF(AB161=0,0,IF(AB161=1,30,IF(AB161=2,60,IF(AB161=3,120,IF(AB161=4,180,240)))))</f>
        <v>0</v>
      </c>
      <c r="T161" s="4" t="n">
        <f aca="false">IF(Y161&gt;0,Y161*600/MAX(1,Z161),0)</f>
        <v>0</v>
      </c>
      <c r="U161" s="4" t="n">
        <f aca="false">IF(AW161&gt;0,AW161*1000000*MAX(0,MIN(22,1+LOG10(AW161)))/100/12,0)</f>
        <v>0</v>
      </c>
      <c r="AA161" s="4" t="n">
        <f aca="true">IF(K161="W",IFERROR(IF(AND(AC161&gt;0,(TODAY()-AC161)&lt;36*365.25/12),2400/((TODAY()-AC161)/30.44/6+1),0),0)+IFERROR(IF(AND(AD161&gt;0,(TODAY()-AD161)&lt;36*365.25/12),2400/((TODAY()-AD161)/30.44/6+1),0),0)+IFERROR(IF(AND(AE161&gt;0,(TODAY()-AE161)&lt;36*365.25/12),2400/((TODAY()-AE161)/30.44/6+1),0),0)+IFERROR(IF(AND(AF161&gt;0,(TODAY()-AF161)&lt;36*365.25/12),2400/((TODAY()-AF161)/30.44/6+1),0),0)+IFERROR(IF(AND(AG161&gt;0,(TODAY()-AG161)&lt;36*365.25/12),2400/((TODAY()-AG161)/30.44/6+1),0),0),0)</f>
        <v>0</v>
      </c>
      <c r="AB161" s="4" t="n">
        <f aca="false">COUNTA(AC161:AG161)</f>
        <v>0</v>
      </c>
      <c r="AY161" s="1" t="n">
        <v>161</v>
      </c>
      <c r="BD161" s="1" t="n">
        <v>2</v>
      </c>
      <c r="BE161" s="1" t="n">
        <v>1200</v>
      </c>
      <c r="BF161" s="1" t="n">
        <v>1</v>
      </c>
      <c r="BG161" s="1" t="n">
        <v>600</v>
      </c>
    </row>
    <row r="162" customFormat="false" ht="15" hidden="false" customHeight="true" outlineLevel="0" collapsed="false">
      <c r="B162" s="1" t="n">
        <v>162</v>
      </c>
      <c r="L162" s="4" t="n">
        <f aca="true">YEAR(TODAY())-H162</f>
        <v>2026</v>
      </c>
      <c r="N162" s="4" t="n">
        <f aca="true">O162+IF(AT162=1,480,0)+AA162+IF(K162="M",IF(AH162&gt;0,IF((TODAY()-AH162)/30.44&lt;6,2400,IF((TODAY()-AH162)/30.44&lt;12,1200,0)),0),0)+IF(AP162&gt;0,AP162,0)-R162-T162-S162-U162</f>
        <v>450</v>
      </c>
      <c r="O162" s="4" t="n">
        <f aca="true">IF(X162=1,1200,IF(YEAR(TODAY())-H162&lt;18,0,IF(YEAR(TODAY())-H162&lt;65,300,450)))</f>
        <v>450</v>
      </c>
      <c r="R162" s="4" t="n">
        <f aca="false">IF(MIN(AM162+IF(ISNUMBER(AN162),AN162,0),16000)&gt;=600,(MIN(AM162+IF(ISNUMBER(AN162),AN162,0),16000)-600)^0.8/10000*MIN(AM162+IF(ISNUMBER(AN162),AN162,0),16000),0)</f>
        <v>0</v>
      </c>
      <c r="S162" s="4" t="n">
        <f aca="false">IF(AB162=0,0,IF(AB162=1,30,IF(AB162=2,60,IF(AB162=3,120,IF(AB162=4,180,240)))))</f>
        <v>0</v>
      </c>
      <c r="T162" s="4" t="n">
        <f aca="false">IF(Y162&gt;0,Y162*600/MAX(1,Z162),0)</f>
        <v>0</v>
      </c>
      <c r="U162" s="4" t="n">
        <f aca="false">IF(AW162&gt;0,AW162*1000000*MAX(0,MIN(22,1+LOG10(AW162)))/100/12,0)</f>
        <v>0</v>
      </c>
      <c r="AA162" s="4" t="n">
        <f aca="true">IF(K162="W",IFERROR(IF(AND(AC162&gt;0,(TODAY()-AC162)&lt;36*365.25/12),2400/((TODAY()-AC162)/30.44/6+1),0),0)+IFERROR(IF(AND(AD162&gt;0,(TODAY()-AD162)&lt;36*365.25/12),2400/((TODAY()-AD162)/30.44/6+1),0),0)+IFERROR(IF(AND(AE162&gt;0,(TODAY()-AE162)&lt;36*365.25/12),2400/((TODAY()-AE162)/30.44/6+1),0),0)+IFERROR(IF(AND(AF162&gt;0,(TODAY()-AF162)&lt;36*365.25/12),2400/((TODAY()-AF162)/30.44/6+1),0),0)+IFERROR(IF(AND(AG162&gt;0,(TODAY()-AG162)&lt;36*365.25/12),2400/((TODAY()-AG162)/30.44/6+1),0),0),0)</f>
        <v>0</v>
      </c>
      <c r="AB162" s="4" t="n">
        <f aca="false">COUNTA(AC162:AG162)</f>
        <v>0</v>
      </c>
      <c r="AY162" s="1" t="n">
        <v>162</v>
      </c>
      <c r="BD162" s="1" t="n">
        <v>3</v>
      </c>
      <c r="BE162" s="1" t="n">
        <v>1200</v>
      </c>
      <c r="BF162" s="1" t="n">
        <v>2</v>
      </c>
      <c r="BG162" s="1" t="n">
        <v>300</v>
      </c>
    </row>
    <row r="163" customFormat="false" ht="15" hidden="false" customHeight="true" outlineLevel="0" collapsed="false">
      <c r="B163" s="1" t="n">
        <v>163</v>
      </c>
      <c r="L163" s="4" t="n">
        <f aca="true">YEAR(TODAY())-H163</f>
        <v>2026</v>
      </c>
      <c r="N163" s="4" t="n">
        <f aca="true">O163+IF(AT163=1,480,0)+AA163+IF(K163="M",IF(AH163&gt;0,IF((TODAY()-AH163)/30.44&lt;6,2400,IF((TODAY()-AH163)/30.44&lt;12,1200,0)),0),0)+IF(AP163&gt;0,AP163,0)-R163-T163-S163-U163</f>
        <v>450</v>
      </c>
      <c r="O163" s="4" t="n">
        <f aca="true">IF(X163=1,1200,IF(YEAR(TODAY())-H163&lt;18,0,IF(YEAR(TODAY())-H163&lt;65,300,450)))</f>
        <v>450</v>
      </c>
      <c r="R163" s="4" t="n">
        <f aca="false">IF(MIN(AM163+IF(ISNUMBER(AN163),AN163,0),16000)&gt;=600,(MIN(AM163+IF(ISNUMBER(AN163),AN163,0),16000)-600)^0.8/10000*MIN(AM163+IF(ISNUMBER(AN163),AN163,0),16000),0)</f>
        <v>0</v>
      </c>
      <c r="S163" s="4" t="n">
        <f aca="false">IF(AB163=0,0,IF(AB163=1,30,IF(AB163=2,60,IF(AB163=3,120,IF(AB163=4,180,240)))))</f>
        <v>0</v>
      </c>
      <c r="T163" s="4" t="n">
        <f aca="false">IF(Y163&gt;0,Y163*600/MAX(1,Z163),0)</f>
        <v>0</v>
      </c>
      <c r="U163" s="4" t="n">
        <f aca="false">IF(AW163&gt;0,AW163*1000000*MAX(0,MIN(22,1+LOG10(AW163)))/100/12,0)</f>
        <v>0</v>
      </c>
      <c r="AA163" s="4" t="n">
        <f aca="true">IF(K163="W",IFERROR(IF(AND(AC163&gt;0,(TODAY()-AC163)&lt;36*365.25/12),2400/((TODAY()-AC163)/30.44/6+1),0),0)+IFERROR(IF(AND(AD163&gt;0,(TODAY()-AD163)&lt;36*365.25/12),2400/((TODAY()-AD163)/30.44/6+1),0),0)+IFERROR(IF(AND(AE163&gt;0,(TODAY()-AE163)&lt;36*365.25/12),2400/((TODAY()-AE163)/30.44/6+1),0),0)+IFERROR(IF(AND(AF163&gt;0,(TODAY()-AF163)&lt;36*365.25/12),2400/((TODAY()-AF163)/30.44/6+1),0),0)+IFERROR(IF(AND(AG163&gt;0,(TODAY()-AG163)&lt;36*365.25/12),2400/((TODAY()-AG163)/30.44/6+1),0),0),0)</f>
        <v>0</v>
      </c>
      <c r="AB163" s="4" t="n">
        <f aca="false">COUNTA(AC163:AG163)</f>
        <v>0</v>
      </c>
      <c r="AY163" s="1" t="n">
        <v>163</v>
      </c>
      <c r="BD163" s="1" t="n">
        <v>4</v>
      </c>
      <c r="BE163" s="1" t="n">
        <v>1200</v>
      </c>
      <c r="BF163" s="1" t="n">
        <v>3</v>
      </c>
      <c r="BG163" s="1" t="n">
        <v>150</v>
      </c>
    </row>
    <row r="164" customFormat="false" ht="15" hidden="false" customHeight="true" outlineLevel="0" collapsed="false">
      <c r="B164" s="1" t="n">
        <v>164</v>
      </c>
      <c r="L164" s="4" t="n">
        <f aca="true">YEAR(TODAY())-H164</f>
        <v>2026</v>
      </c>
      <c r="N164" s="4" t="n">
        <f aca="true">O164+IF(AT164=1,480,0)+AA164+IF(K164="M",IF(AH164&gt;0,IF((TODAY()-AH164)/30.44&lt;6,2400,IF((TODAY()-AH164)/30.44&lt;12,1200,0)),0),0)+IF(AP164&gt;0,AP164,0)-R164-T164-S164-U164</f>
        <v>450</v>
      </c>
      <c r="O164" s="4" t="n">
        <f aca="true">IF(X164=1,1200,IF(YEAR(TODAY())-H164&lt;18,0,IF(YEAR(TODAY())-H164&lt;65,300,450)))</f>
        <v>450</v>
      </c>
      <c r="R164" s="4" t="n">
        <f aca="false">IF(MIN(AM164+IF(ISNUMBER(AN164),AN164,0),16000)&gt;=600,(MIN(AM164+IF(ISNUMBER(AN164),AN164,0),16000)-600)^0.8/10000*MIN(AM164+IF(ISNUMBER(AN164),AN164,0),16000),0)</f>
        <v>0</v>
      </c>
      <c r="S164" s="4" t="n">
        <f aca="false">IF(AB164=0,0,IF(AB164=1,30,IF(AB164=2,60,IF(AB164=3,120,IF(AB164=4,180,240)))))</f>
        <v>0</v>
      </c>
      <c r="T164" s="4" t="n">
        <f aca="false">IF(Y164&gt;0,Y164*600/MAX(1,Z164),0)</f>
        <v>0</v>
      </c>
      <c r="U164" s="4" t="n">
        <f aca="false">IF(AW164&gt;0,AW164*1000000*MAX(0,MIN(22,1+LOG10(AW164)))/100/12,0)</f>
        <v>0</v>
      </c>
      <c r="AA164" s="4" t="n">
        <f aca="true">IF(K164="W",IFERROR(IF(AND(AC164&gt;0,(TODAY()-AC164)&lt;36*365.25/12),2400/((TODAY()-AC164)/30.44/6+1),0),0)+IFERROR(IF(AND(AD164&gt;0,(TODAY()-AD164)&lt;36*365.25/12),2400/((TODAY()-AD164)/30.44/6+1),0),0)+IFERROR(IF(AND(AE164&gt;0,(TODAY()-AE164)&lt;36*365.25/12),2400/((TODAY()-AE164)/30.44/6+1),0),0)+IFERROR(IF(AND(AF164&gt;0,(TODAY()-AF164)&lt;36*365.25/12),2400/((TODAY()-AF164)/30.44/6+1),0),0)+IFERROR(IF(AND(AG164&gt;0,(TODAY()-AG164)&lt;36*365.25/12),2400/((TODAY()-AG164)/30.44/6+1),0),0),0)</f>
        <v>0</v>
      </c>
      <c r="AB164" s="4" t="n">
        <f aca="false">COUNTA(AC164:AG164)</f>
        <v>0</v>
      </c>
      <c r="AY164" s="1" t="n">
        <v>164</v>
      </c>
      <c r="BD164" s="1" t="n">
        <v>5</v>
      </c>
      <c r="BE164" s="1" t="n">
        <v>1200</v>
      </c>
      <c r="BF164" s="1" t="n">
        <v>4</v>
      </c>
      <c r="BG164" s="1" t="n">
        <v>0</v>
      </c>
    </row>
    <row r="165" customFormat="false" ht="15" hidden="false" customHeight="true" outlineLevel="0" collapsed="false">
      <c r="B165" s="1" t="n">
        <v>165</v>
      </c>
      <c r="L165" s="4" t="n">
        <f aca="true">YEAR(TODAY())-H165</f>
        <v>2026</v>
      </c>
      <c r="N165" s="4" t="n">
        <f aca="true">O165+IF(AT165=1,480,0)+AA165+IF(K165="M",IF(AH165&gt;0,IF((TODAY()-AH165)/30.44&lt;6,2400,IF((TODAY()-AH165)/30.44&lt;12,1200,0)),0),0)+IF(AP165&gt;0,AP165,0)-R165-T165-S165-U165</f>
        <v>450</v>
      </c>
      <c r="O165" s="4" t="n">
        <f aca="true">IF(X165=1,1200,IF(YEAR(TODAY())-H165&lt;18,0,IF(YEAR(TODAY())-H165&lt;65,300,450)))</f>
        <v>450</v>
      </c>
      <c r="R165" s="4" t="n">
        <f aca="false">IF(MIN(AM165+IF(ISNUMBER(AN165),AN165,0),16000)&gt;=600,(MIN(AM165+IF(ISNUMBER(AN165),AN165,0),16000)-600)^0.8/10000*MIN(AM165+IF(ISNUMBER(AN165),AN165,0),16000),0)</f>
        <v>0</v>
      </c>
      <c r="S165" s="4" t="n">
        <f aca="false">IF(AB165=0,0,IF(AB165=1,30,IF(AB165=2,60,IF(AB165=3,120,IF(AB165=4,180,240)))))</f>
        <v>0</v>
      </c>
      <c r="T165" s="4" t="n">
        <f aca="false">IF(Y165&gt;0,Y165*600/MAX(1,Z165),0)</f>
        <v>0</v>
      </c>
      <c r="U165" s="4" t="n">
        <f aca="false">IF(AW165&gt;0,AW165*1000000*MAX(0,MIN(22,1+LOG10(AW165)))/100/12,0)</f>
        <v>0</v>
      </c>
      <c r="AA165" s="4" t="n">
        <f aca="true">IF(K165="W",IFERROR(IF(AND(AC165&gt;0,(TODAY()-AC165)&lt;36*365.25/12),2400/((TODAY()-AC165)/30.44/6+1),0),0)+IFERROR(IF(AND(AD165&gt;0,(TODAY()-AD165)&lt;36*365.25/12),2400/((TODAY()-AD165)/30.44/6+1),0),0)+IFERROR(IF(AND(AE165&gt;0,(TODAY()-AE165)&lt;36*365.25/12),2400/((TODAY()-AE165)/30.44/6+1),0),0)+IFERROR(IF(AND(AF165&gt;0,(TODAY()-AF165)&lt;36*365.25/12),2400/((TODAY()-AF165)/30.44/6+1),0),0)+IFERROR(IF(AND(AG165&gt;0,(TODAY()-AG165)&lt;36*365.25/12),2400/((TODAY()-AG165)/30.44/6+1),0),0),0)</f>
        <v>0</v>
      </c>
      <c r="AB165" s="4" t="n">
        <f aca="false">COUNTA(AC165:AG165)</f>
        <v>0</v>
      </c>
      <c r="AY165" s="1" t="n">
        <v>165</v>
      </c>
      <c r="BD165" s="1" t="n">
        <v>6</v>
      </c>
      <c r="BE165" s="1" t="n">
        <v>1200</v>
      </c>
      <c r="BF165" s="1" t="n">
        <v>5</v>
      </c>
      <c r="BG165" s="1" t="n">
        <v>0</v>
      </c>
    </row>
    <row r="166" customFormat="false" ht="15" hidden="false" customHeight="true" outlineLevel="0" collapsed="false">
      <c r="B166" s="1" t="n">
        <v>166</v>
      </c>
      <c r="L166" s="4" t="n">
        <f aca="true">YEAR(TODAY())-H166</f>
        <v>2026</v>
      </c>
      <c r="N166" s="4" t="n">
        <f aca="true">O166+IF(AT166=1,480,0)+AA166+IF(K166="M",IF(AH166&gt;0,IF((TODAY()-AH166)/30.44&lt;6,2400,IF((TODAY()-AH166)/30.44&lt;12,1200,0)),0),0)+IF(AP166&gt;0,AP166,0)-R166-T166-S166-U166</f>
        <v>450</v>
      </c>
      <c r="O166" s="4" t="n">
        <f aca="true">IF(X166=1,1200,IF(YEAR(TODAY())-H166&lt;18,0,IF(YEAR(TODAY())-H166&lt;65,300,450)))</f>
        <v>450</v>
      </c>
      <c r="R166" s="4" t="n">
        <f aca="false">IF(MIN(AM166+IF(ISNUMBER(AN166),AN166,0),16000)&gt;=600,(MIN(AM166+IF(ISNUMBER(AN166),AN166,0),16000)-600)^0.8/10000*MIN(AM166+IF(ISNUMBER(AN166),AN166,0),16000),0)</f>
        <v>0</v>
      </c>
      <c r="S166" s="4" t="n">
        <f aca="false">IF(AB166=0,0,IF(AB166=1,30,IF(AB166=2,60,IF(AB166=3,120,IF(AB166=4,180,240)))))</f>
        <v>0</v>
      </c>
      <c r="T166" s="4" t="n">
        <f aca="false">IF(Y166&gt;0,Y166*600/MAX(1,Z166),0)</f>
        <v>0</v>
      </c>
      <c r="U166" s="4" t="n">
        <f aca="false">IF(AW166&gt;0,AW166*1000000*MAX(0,MIN(22,1+LOG10(AW166)))/100/12,0)</f>
        <v>0</v>
      </c>
      <c r="AA166" s="4" t="n">
        <f aca="true">IF(K166="W",IFERROR(IF(AND(AC166&gt;0,(TODAY()-AC166)&lt;36*365.25/12),2400/((TODAY()-AC166)/30.44/6+1),0),0)+IFERROR(IF(AND(AD166&gt;0,(TODAY()-AD166)&lt;36*365.25/12),2400/((TODAY()-AD166)/30.44/6+1),0),0)+IFERROR(IF(AND(AE166&gt;0,(TODAY()-AE166)&lt;36*365.25/12),2400/((TODAY()-AE166)/30.44/6+1),0),0)+IFERROR(IF(AND(AF166&gt;0,(TODAY()-AF166)&lt;36*365.25/12),2400/((TODAY()-AF166)/30.44/6+1),0),0)+IFERROR(IF(AND(AG166&gt;0,(TODAY()-AG166)&lt;36*365.25/12),2400/((TODAY()-AG166)/30.44/6+1),0),0),0)</f>
        <v>0</v>
      </c>
      <c r="AB166" s="4" t="n">
        <f aca="false">COUNTA(AC166:AG166)</f>
        <v>0</v>
      </c>
      <c r="AY166" s="1" t="n">
        <v>166</v>
      </c>
      <c r="BD166" s="1" t="n">
        <v>7</v>
      </c>
      <c r="BE166" s="1" t="n">
        <v>600</v>
      </c>
      <c r="BF166" s="1" t="n">
        <v>6</v>
      </c>
      <c r="BG166" s="1" t="n">
        <v>0</v>
      </c>
    </row>
    <row r="167" customFormat="false" ht="15" hidden="false" customHeight="true" outlineLevel="0" collapsed="false">
      <c r="B167" s="1" t="n">
        <v>167</v>
      </c>
      <c r="L167" s="4" t="n">
        <f aca="true">YEAR(TODAY())-H167</f>
        <v>2026</v>
      </c>
      <c r="N167" s="4" t="n">
        <f aca="true">O167+IF(AT167=1,480,0)+AA167+IF(K167="M",IF(AH167&gt;0,IF((TODAY()-AH167)/30.44&lt;6,2400,IF((TODAY()-AH167)/30.44&lt;12,1200,0)),0),0)+IF(AP167&gt;0,AP167,0)-R167-T167-S167-U167</f>
        <v>450</v>
      </c>
      <c r="O167" s="4" t="n">
        <f aca="true">IF(X167=1,1200,IF(YEAR(TODAY())-H167&lt;18,0,IF(YEAR(TODAY())-H167&lt;65,300,450)))</f>
        <v>450</v>
      </c>
      <c r="R167" s="4" t="n">
        <f aca="false">IF(MIN(AM167+IF(ISNUMBER(AN167),AN167,0),16000)&gt;=600,(MIN(AM167+IF(ISNUMBER(AN167),AN167,0),16000)-600)^0.8/10000*MIN(AM167+IF(ISNUMBER(AN167),AN167,0),16000),0)</f>
        <v>0</v>
      </c>
      <c r="S167" s="4" t="n">
        <f aca="false">IF(AB167=0,0,IF(AB167=1,30,IF(AB167=2,60,IF(AB167=3,120,IF(AB167=4,180,240)))))</f>
        <v>0</v>
      </c>
      <c r="T167" s="4" t="n">
        <f aca="false">IF(Y167&gt;0,Y167*600/MAX(1,Z167),0)</f>
        <v>0</v>
      </c>
      <c r="U167" s="4" t="n">
        <f aca="false">IF(AW167&gt;0,AW167*1000000*MAX(0,MIN(22,1+LOG10(AW167)))/100/12,0)</f>
        <v>0</v>
      </c>
      <c r="AA167" s="4" t="n">
        <f aca="true">IF(K167="W",IFERROR(IF(AND(AC167&gt;0,(TODAY()-AC167)&lt;36*365.25/12),2400/((TODAY()-AC167)/30.44/6+1),0),0)+IFERROR(IF(AND(AD167&gt;0,(TODAY()-AD167)&lt;36*365.25/12),2400/((TODAY()-AD167)/30.44/6+1),0),0)+IFERROR(IF(AND(AE167&gt;0,(TODAY()-AE167)&lt;36*365.25/12),2400/((TODAY()-AE167)/30.44/6+1),0),0)+IFERROR(IF(AND(AF167&gt;0,(TODAY()-AF167)&lt;36*365.25/12),2400/((TODAY()-AF167)/30.44/6+1),0),0)+IFERROR(IF(AND(AG167&gt;0,(TODAY()-AG167)&lt;36*365.25/12),2400/((TODAY()-AG167)/30.44/6+1),0),0),0)</f>
        <v>0</v>
      </c>
      <c r="AB167" s="4" t="n">
        <f aca="false">COUNTA(AC167:AG167)</f>
        <v>0</v>
      </c>
      <c r="AY167" s="1" t="n">
        <v>167</v>
      </c>
      <c r="BD167" s="1" t="n">
        <v>8</v>
      </c>
      <c r="BE167" s="1" t="n">
        <v>600</v>
      </c>
      <c r="BF167" s="1" t="n">
        <v>7</v>
      </c>
      <c r="BG167" s="1" t="n">
        <v>0</v>
      </c>
    </row>
    <row r="168" customFormat="false" ht="15" hidden="false" customHeight="true" outlineLevel="0" collapsed="false">
      <c r="B168" s="1" t="n">
        <v>168</v>
      </c>
      <c r="L168" s="4" t="n">
        <f aca="true">YEAR(TODAY())-H168</f>
        <v>2026</v>
      </c>
      <c r="N168" s="4" t="n">
        <f aca="true">O168+IF(AT168=1,480,0)+AA168+IF(K168="M",IF(AH168&gt;0,IF((TODAY()-AH168)/30.44&lt;6,2400,IF((TODAY()-AH168)/30.44&lt;12,1200,0)),0),0)+IF(AP168&gt;0,AP168,0)-R168-T168-S168-U168</f>
        <v>450</v>
      </c>
      <c r="O168" s="4" t="n">
        <f aca="true">IF(X168=1,1200,IF(YEAR(TODAY())-H168&lt;18,0,IF(YEAR(TODAY())-H168&lt;65,300,450)))</f>
        <v>450</v>
      </c>
      <c r="R168" s="4" t="n">
        <f aca="false">IF(MIN(AM168+IF(ISNUMBER(AN168),AN168,0),16000)&gt;=600,(MIN(AM168+IF(ISNUMBER(AN168),AN168,0),16000)-600)^0.8/10000*MIN(AM168+IF(ISNUMBER(AN168),AN168,0),16000),0)</f>
        <v>0</v>
      </c>
      <c r="S168" s="4" t="n">
        <f aca="false">IF(AB168=0,0,IF(AB168=1,30,IF(AB168=2,60,IF(AB168=3,120,IF(AB168=4,180,240)))))</f>
        <v>0</v>
      </c>
      <c r="T168" s="4" t="n">
        <f aca="false">IF(Y168&gt;0,Y168*600/MAX(1,Z168),0)</f>
        <v>0</v>
      </c>
      <c r="U168" s="4" t="n">
        <f aca="false">IF(AW168&gt;0,AW168*1000000*MAX(0,MIN(22,1+LOG10(AW168)))/100/12,0)</f>
        <v>0</v>
      </c>
      <c r="AA168" s="4" t="n">
        <f aca="true">IF(K168="W",IFERROR(IF(AND(AC168&gt;0,(TODAY()-AC168)&lt;36*365.25/12),2400/((TODAY()-AC168)/30.44/6+1),0),0)+IFERROR(IF(AND(AD168&gt;0,(TODAY()-AD168)&lt;36*365.25/12),2400/((TODAY()-AD168)/30.44/6+1),0),0)+IFERROR(IF(AND(AE168&gt;0,(TODAY()-AE168)&lt;36*365.25/12),2400/((TODAY()-AE168)/30.44/6+1),0),0)+IFERROR(IF(AND(AF168&gt;0,(TODAY()-AF168)&lt;36*365.25/12),2400/((TODAY()-AF168)/30.44/6+1),0),0)+IFERROR(IF(AND(AG168&gt;0,(TODAY()-AG168)&lt;36*365.25/12),2400/((TODAY()-AG168)/30.44/6+1),0),0),0)</f>
        <v>0</v>
      </c>
      <c r="AB168" s="4" t="n">
        <f aca="false">COUNTA(AC168:AG168)</f>
        <v>0</v>
      </c>
      <c r="AY168" s="1" t="n">
        <v>168</v>
      </c>
      <c r="BD168" s="1" t="n">
        <v>9</v>
      </c>
      <c r="BE168" s="1" t="n">
        <v>600</v>
      </c>
      <c r="BF168" s="1" t="n">
        <v>8</v>
      </c>
      <c r="BG168" s="1" t="n">
        <v>0</v>
      </c>
    </row>
    <row r="169" customFormat="false" ht="15" hidden="false" customHeight="true" outlineLevel="0" collapsed="false">
      <c r="B169" s="1" t="n">
        <v>169</v>
      </c>
      <c r="L169" s="4" t="n">
        <f aca="true">YEAR(TODAY())-H169</f>
        <v>2026</v>
      </c>
      <c r="N169" s="4" t="n">
        <f aca="true">O169+IF(AT169=1,480,0)+AA169+IF(K169="M",IF(AH169&gt;0,IF((TODAY()-AH169)/30.44&lt;6,2400,IF((TODAY()-AH169)/30.44&lt;12,1200,0)),0),0)+IF(AP169&gt;0,AP169,0)-R169-T169-S169-U169</f>
        <v>450</v>
      </c>
      <c r="O169" s="4" t="n">
        <f aca="true">IF(X169=1,1200,IF(YEAR(TODAY())-H169&lt;18,0,IF(YEAR(TODAY())-H169&lt;65,300,450)))</f>
        <v>450</v>
      </c>
      <c r="R169" s="4" t="n">
        <f aca="false">IF(MIN(AM169+IF(ISNUMBER(AN169),AN169,0),16000)&gt;=600,(MIN(AM169+IF(ISNUMBER(AN169),AN169,0),16000)-600)^0.8/10000*MIN(AM169+IF(ISNUMBER(AN169),AN169,0),16000),0)</f>
        <v>0</v>
      </c>
      <c r="S169" s="4" t="n">
        <f aca="false">IF(AB169=0,0,IF(AB169=1,30,IF(AB169=2,60,IF(AB169=3,120,IF(AB169=4,180,240)))))</f>
        <v>0</v>
      </c>
      <c r="T169" s="4" t="n">
        <f aca="false">IF(Y169&gt;0,Y169*600/MAX(1,Z169),0)</f>
        <v>0</v>
      </c>
      <c r="U169" s="4" t="n">
        <f aca="false">IF(AW169&gt;0,AW169*1000000*MAX(0,MIN(22,1+LOG10(AW169)))/100/12,0)</f>
        <v>0</v>
      </c>
      <c r="AA169" s="4" t="n">
        <f aca="true">IF(K169="W",IFERROR(IF(AND(AC169&gt;0,(TODAY()-AC169)&lt;36*365.25/12),2400/((TODAY()-AC169)/30.44/6+1),0),0)+IFERROR(IF(AND(AD169&gt;0,(TODAY()-AD169)&lt;36*365.25/12),2400/((TODAY()-AD169)/30.44/6+1),0),0)+IFERROR(IF(AND(AE169&gt;0,(TODAY()-AE169)&lt;36*365.25/12),2400/((TODAY()-AE169)/30.44/6+1),0),0)+IFERROR(IF(AND(AF169&gt;0,(TODAY()-AF169)&lt;36*365.25/12),2400/((TODAY()-AF169)/30.44/6+1),0),0)+IFERROR(IF(AND(AG169&gt;0,(TODAY()-AG169)&lt;36*365.25/12),2400/((TODAY()-AG169)/30.44/6+1),0),0),0)</f>
        <v>0</v>
      </c>
      <c r="AB169" s="4" t="n">
        <f aca="false">COUNTA(AC169:AG169)</f>
        <v>0</v>
      </c>
      <c r="AY169" s="1" t="n">
        <v>169</v>
      </c>
      <c r="BD169" s="1" t="n">
        <v>10</v>
      </c>
      <c r="BE169" s="1" t="n">
        <v>600</v>
      </c>
      <c r="BF169" s="1" t="n">
        <v>9</v>
      </c>
      <c r="BG169" s="1" t="n">
        <v>0</v>
      </c>
    </row>
    <row r="170" customFormat="false" ht="15" hidden="false" customHeight="true" outlineLevel="0" collapsed="false">
      <c r="B170" s="1" t="n">
        <v>170</v>
      </c>
      <c r="L170" s="4" t="n">
        <f aca="true">YEAR(TODAY())-H170</f>
        <v>2026</v>
      </c>
      <c r="N170" s="4" t="n">
        <f aca="true">O170+IF(AT170=1,480,0)+AA170+IF(K170="M",IF(AH170&gt;0,IF((TODAY()-AH170)/30.44&lt;6,2400,IF((TODAY()-AH170)/30.44&lt;12,1200,0)),0),0)+IF(AP170&gt;0,AP170,0)-R170-T170-S170-U170</f>
        <v>450</v>
      </c>
      <c r="O170" s="4" t="n">
        <f aca="true">IF(X170=1,1200,IF(YEAR(TODAY())-H170&lt;18,0,IF(YEAR(TODAY())-H170&lt;65,300,450)))</f>
        <v>450</v>
      </c>
      <c r="R170" s="4" t="n">
        <f aca="false">IF(MIN(AM170+IF(ISNUMBER(AN170),AN170,0),16000)&gt;=600,(MIN(AM170+IF(ISNUMBER(AN170),AN170,0),16000)-600)^0.8/10000*MIN(AM170+IF(ISNUMBER(AN170),AN170,0),16000),0)</f>
        <v>0</v>
      </c>
      <c r="S170" s="4" t="n">
        <f aca="false">IF(AB170=0,0,IF(AB170=1,30,IF(AB170=2,60,IF(AB170=3,120,IF(AB170=4,180,240)))))</f>
        <v>0</v>
      </c>
      <c r="T170" s="4" t="n">
        <f aca="false">IF(Y170&gt;0,Y170*600/MAX(1,Z170),0)</f>
        <v>0</v>
      </c>
      <c r="U170" s="4" t="n">
        <f aca="false">IF(AW170&gt;0,AW170*1000000*MAX(0,MIN(22,1+LOG10(AW170)))/100/12,0)</f>
        <v>0</v>
      </c>
      <c r="AA170" s="4" t="n">
        <f aca="true">IF(K170="W",IFERROR(IF(AND(AC170&gt;0,(TODAY()-AC170)&lt;36*365.25/12),2400/((TODAY()-AC170)/30.44/6+1),0),0)+IFERROR(IF(AND(AD170&gt;0,(TODAY()-AD170)&lt;36*365.25/12),2400/((TODAY()-AD170)/30.44/6+1),0),0)+IFERROR(IF(AND(AE170&gt;0,(TODAY()-AE170)&lt;36*365.25/12),2400/((TODAY()-AE170)/30.44/6+1),0),0)+IFERROR(IF(AND(AF170&gt;0,(TODAY()-AF170)&lt;36*365.25/12),2400/((TODAY()-AF170)/30.44/6+1),0),0)+IFERROR(IF(AND(AG170&gt;0,(TODAY()-AG170)&lt;36*365.25/12),2400/((TODAY()-AG170)/30.44/6+1),0),0),0)</f>
        <v>0</v>
      </c>
      <c r="AB170" s="4" t="n">
        <f aca="false">COUNTA(AC170:AG170)</f>
        <v>0</v>
      </c>
      <c r="AY170" s="1" t="n">
        <v>170</v>
      </c>
      <c r="BD170" s="1" t="n">
        <v>11</v>
      </c>
      <c r="BE170" s="1" t="n">
        <v>600</v>
      </c>
      <c r="BF170" s="1" t="n">
        <v>10</v>
      </c>
      <c r="BG170" s="1" t="n">
        <v>0</v>
      </c>
    </row>
    <row r="171" customFormat="false" ht="15" hidden="false" customHeight="true" outlineLevel="0" collapsed="false">
      <c r="B171" s="1" t="n">
        <v>171</v>
      </c>
      <c r="L171" s="4" t="n">
        <f aca="true">YEAR(TODAY())-H171</f>
        <v>2026</v>
      </c>
      <c r="N171" s="4" t="n">
        <f aca="true">O171+IF(AT171=1,480,0)+AA171+IF(K171="M",IF(AH171&gt;0,IF((TODAY()-AH171)/30.44&lt;6,2400,IF((TODAY()-AH171)/30.44&lt;12,1200,0)),0),0)+IF(AP171&gt;0,AP171,0)-R171-T171-S171-U171</f>
        <v>450</v>
      </c>
      <c r="O171" s="4" t="n">
        <f aca="true">IF(X171=1,1200,IF(YEAR(TODAY())-H171&lt;18,0,IF(YEAR(TODAY())-H171&lt;65,300,450)))</f>
        <v>450</v>
      </c>
      <c r="R171" s="4" t="n">
        <f aca="false">IF(MIN(AM171+IF(ISNUMBER(AN171),AN171,0),16000)&gt;=600,(MIN(AM171+IF(ISNUMBER(AN171),AN171,0),16000)-600)^0.8/10000*MIN(AM171+IF(ISNUMBER(AN171),AN171,0),16000),0)</f>
        <v>0</v>
      </c>
      <c r="S171" s="4" t="n">
        <f aca="false">IF(AB171=0,0,IF(AB171=1,30,IF(AB171=2,60,IF(AB171=3,120,IF(AB171=4,180,240)))))</f>
        <v>0</v>
      </c>
      <c r="T171" s="4" t="n">
        <f aca="false">IF(Y171&gt;0,Y171*600/MAX(1,Z171),0)</f>
        <v>0</v>
      </c>
      <c r="U171" s="4" t="n">
        <f aca="false">IF(AW171&gt;0,AW171*1000000*MAX(0,MIN(22,1+LOG10(AW171)))/100/12,0)</f>
        <v>0</v>
      </c>
      <c r="AA171" s="4" t="n">
        <f aca="true">IF(K171="W",IFERROR(IF(AND(AC171&gt;0,(TODAY()-AC171)&lt;36*365.25/12),2400/((TODAY()-AC171)/30.44/6+1),0),0)+IFERROR(IF(AND(AD171&gt;0,(TODAY()-AD171)&lt;36*365.25/12),2400/((TODAY()-AD171)/30.44/6+1),0),0)+IFERROR(IF(AND(AE171&gt;0,(TODAY()-AE171)&lt;36*365.25/12),2400/((TODAY()-AE171)/30.44/6+1),0),0)+IFERROR(IF(AND(AF171&gt;0,(TODAY()-AF171)&lt;36*365.25/12),2400/((TODAY()-AF171)/30.44/6+1),0),0)+IFERROR(IF(AND(AG171&gt;0,(TODAY()-AG171)&lt;36*365.25/12),2400/((TODAY()-AG171)/30.44/6+1),0),0),0)</f>
        <v>0</v>
      </c>
      <c r="AB171" s="4" t="n">
        <f aca="false">COUNTA(AC171:AG171)</f>
        <v>0</v>
      </c>
      <c r="AY171" s="1" t="n">
        <v>171</v>
      </c>
      <c r="BD171" s="1" t="n">
        <v>12</v>
      </c>
      <c r="BE171" s="1" t="n">
        <v>600</v>
      </c>
      <c r="BF171" s="1" t="n">
        <v>11</v>
      </c>
      <c r="BG171" s="1" t="n">
        <v>0</v>
      </c>
    </row>
    <row r="172" customFormat="false" ht="15" hidden="false" customHeight="true" outlineLevel="0" collapsed="false">
      <c r="B172" s="1" t="n">
        <v>172</v>
      </c>
      <c r="L172" s="4" t="n">
        <f aca="true">YEAR(TODAY())-H172</f>
        <v>2026</v>
      </c>
      <c r="N172" s="4" t="n">
        <f aca="true">O172+IF(AT172=1,480,0)+AA172+IF(K172="M",IF(AH172&gt;0,IF((TODAY()-AH172)/30.44&lt;6,2400,IF((TODAY()-AH172)/30.44&lt;12,1200,0)),0),0)+IF(AP172&gt;0,AP172,0)-R172-T172-S172-U172</f>
        <v>450</v>
      </c>
      <c r="O172" s="4" t="n">
        <f aca="true">IF(X172=1,1200,IF(YEAR(TODAY())-H172&lt;18,0,IF(YEAR(TODAY())-H172&lt;65,300,450)))</f>
        <v>450</v>
      </c>
      <c r="R172" s="4" t="n">
        <f aca="false">IF(MIN(AM172+IF(ISNUMBER(AN172),AN172,0),16000)&gt;=600,(MIN(AM172+IF(ISNUMBER(AN172),AN172,0),16000)-600)^0.8/10000*MIN(AM172+IF(ISNUMBER(AN172),AN172,0),16000),0)</f>
        <v>0</v>
      </c>
      <c r="S172" s="4" t="n">
        <f aca="false">IF(AB172=0,0,IF(AB172=1,30,IF(AB172=2,60,IF(AB172=3,120,IF(AB172=4,180,240)))))</f>
        <v>0</v>
      </c>
      <c r="T172" s="4" t="n">
        <f aca="false">IF(Y172&gt;0,Y172*600/MAX(1,Z172),0)</f>
        <v>0</v>
      </c>
      <c r="U172" s="4" t="n">
        <f aca="false">IF(AW172&gt;0,AW172*1000000*MAX(0,MIN(22,1+LOG10(AW172)))/100/12,0)</f>
        <v>0</v>
      </c>
      <c r="AA172" s="4" t="n">
        <f aca="true">IF(K172="W",IFERROR(IF(AND(AC172&gt;0,(TODAY()-AC172)&lt;36*365.25/12),2400/((TODAY()-AC172)/30.44/6+1),0),0)+IFERROR(IF(AND(AD172&gt;0,(TODAY()-AD172)&lt;36*365.25/12),2400/((TODAY()-AD172)/30.44/6+1),0),0)+IFERROR(IF(AND(AE172&gt;0,(TODAY()-AE172)&lt;36*365.25/12),2400/((TODAY()-AE172)/30.44/6+1),0),0)+IFERROR(IF(AND(AF172&gt;0,(TODAY()-AF172)&lt;36*365.25/12),2400/((TODAY()-AF172)/30.44/6+1),0),0)+IFERROR(IF(AND(AG172&gt;0,(TODAY()-AG172)&lt;36*365.25/12),2400/((TODAY()-AG172)/30.44/6+1),0),0),0)</f>
        <v>0</v>
      </c>
      <c r="AB172" s="4" t="n">
        <f aca="false">COUNTA(AC172:AG172)</f>
        <v>0</v>
      </c>
      <c r="AY172" s="1" t="n">
        <v>172</v>
      </c>
      <c r="BD172" s="1" t="n">
        <v>13</v>
      </c>
      <c r="BE172" s="1" t="n">
        <v>300</v>
      </c>
      <c r="BF172" s="1" t="n">
        <v>12</v>
      </c>
      <c r="BG172" s="1" t="n">
        <v>0</v>
      </c>
    </row>
    <row r="173" customFormat="false" ht="15" hidden="false" customHeight="true" outlineLevel="0" collapsed="false">
      <c r="B173" s="1" t="n">
        <v>173</v>
      </c>
      <c r="L173" s="4" t="n">
        <f aca="true">YEAR(TODAY())-H173</f>
        <v>2026</v>
      </c>
      <c r="N173" s="4" t="n">
        <f aca="true">O173+IF(AT173=1,480,0)+AA173+IF(K173="M",IF(AH173&gt;0,IF((TODAY()-AH173)/30.44&lt;6,2400,IF((TODAY()-AH173)/30.44&lt;12,1200,0)),0),0)+IF(AP173&gt;0,AP173,0)-R173-T173-S173-U173</f>
        <v>450</v>
      </c>
      <c r="O173" s="4" t="n">
        <f aca="true">IF(X173=1,1200,IF(YEAR(TODAY())-H173&lt;18,0,IF(YEAR(TODAY())-H173&lt;65,300,450)))</f>
        <v>450</v>
      </c>
      <c r="R173" s="4" t="n">
        <f aca="false">IF(MIN(AM173+IF(ISNUMBER(AN173),AN173,0),16000)&gt;=600,(MIN(AM173+IF(ISNUMBER(AN173),AN173,0),16000)-600)^0.8/10000*MIN(AM173+IF(ISNUMBER(AN173),AN173,0),16000),0)</f>
        <v>0</v>
      </c>
      <c r="S173" s="4" t="n">
        <f aca="false">IF(AB173=0,0,IF(AB173=1,30,IF(AB173=2,60,IF(AB173=3,120,IF(AB173=4,180,240)))))</f>
        <v>0</v>
      </c>
      <c r="T173" s="4" t="n">
        <f aca="false">IF(Y173&gt;0,Y173*600/MAX(1,Z173),0)</f>
        <v>0</v>
      </c>
      <c r="U173" s="4" t="n">
        <f aca="false">IF(AW173&gt;0,AW173*1000000*MAX(0,MIN(22,1+LOG10(AW173)))/100/12,0)</f>
        <v>0</v>
      </c>
      <c r="AA173" s="4" t="n">
        <f aca="true">IF(K173="W",IFERROR(IF(AND(AC173&gt;0,(TODAY()-AC173)&lt;36*365.25/12),2400/((TODAY()-AC173)/30.44/6+1),0),0)+IFERROR(IF(AND(AD173&gt;0,(TODAY()-AD173)&lt;36*365.25/12),2400/((TODAY()-AD173)/30.44/6+1),0),0)+IFERROR(IF(AND(AE173&gt;0,(TODAY()-AE173)&lt;36*365.25/12),2400/((TODAY()-AE173)/30.44/6+1),0),0)+IFERROR(IF(AND(AF173&gt;0,(TODAY()-AF173)&lt;36*365.25/12),2400/((TODAY()-AF173)/30.44/6+1),0),0)+IFERROR(IF(AND(AG173&gt;0,(TODAY()-AG173)&lt;36*365.25/12),2400/((TODAY()-AG173)/30.44/6+1),0),0),0)</f>
        <v>0</v>
      </c>
      <c r="AB173" s="4" t="n">
        <f aca="false">COUNTA(AC173:AG173)</f>
        <v>0</v>
      </c>
      <c r="AY173" s="1" t="n">
        <v>173</v>
      </c>
      <c r="BD173" s="1" t="n">
        <v>14</v>
      </c>
      <c r="BE173" s="1" t="n">
        <v>300</v>
      </c>
      <c r="BF173" s="1" t="n">
        <v>13</v>
      </c>
      <c r="BG173" s="1" t="n">
        <v>0</v>
      </c>
    </row>
    <row r="174" customFormat="false" ht="15" hidden="false" customHeight="true" outlineLevel="0" collapsed="false">
      <c r="B174" s="1" t="n">
        <v>174</v>
      </c>
      <c r="L174" s="4" t="n">
        <f aca="true">YEAR(TODAY())-H174</f>
        <v>2026</v>
      </c>
      <c r="N174" s="4" t="n">
        <f aca="true">O174+IF(AT174=1,480,0)+AA174+IF(K174="M",IF(AH174&gt;0,IF((TODAY()-AH174)/30.44&lt;6,2400,IF((TODAY()-AH174)/30.44&lt;12,1200,0)),0),0)+IF(AP174&gt;0,AP174,0)-R174-T174-S174-U174</f>
        <v>450</v>
      </c>
      <c r="O174" s="4" t="n">
        <f aca="true">IF(X174=1,1200,IF(YEAR(TODAY())-H174&lt;18,0,IF(YEAR(TODAY())-H174&lt;65,300,450)))</f>
        <v>450</v>
      </c>
      <c r="R174" s="4" t="n">
        <f aca="false">IF(MIN(AM174+IF(ISNUMBER(AN174),AN174,0),16000)&gt;=600,(MIN(AM174+IF(ISNUMBER(AN174),AN174,0),16000)-600)^0.8/10000*MIN(AM174+IF(ISNUMBER(AN174),AN174,0),16000),0)</f>
        <v>0</v>
      </c>
      <c r="S174" s="4" t="n">
        <f aca="false">IF(AB174=0,0,IF(AB174=1,30,IF(AB174=2,60,IF(AB174=3,120,IF(AB174=4,180,240)))))</f>
        <v>0</v>
      </c>
      <c r="T174" s="4" t="n">
        <f aca="false">IF(Y174&gt;0,Y174*600/MAX(1,Z174),0)</f>
        <v>0</v>
      </c>
      <c r="U174" s="4" t="n">
        <f aca="false">IF(AW174&gt;0,AW174*1000000*MAX(0,MIN(22,1+LOG10(AW174)))/100/12,0)</f>
        <v>0</v>
      </c>
      <c r="AA174" s="4" t="n">
        <f aca="true">IF(K174="W",IFERROR(IF(AND(AC174&gt;0,(TODAY()-AC174)&lt;36*365.25/12),2400/((TODAY()-AC174)/30.44/6+1),0),0)+IFERROR(IF(AND(AD174&gt;0,(TODAY()-AD174)&lt;36*365.25/12),2400/((TODAY()-AD174)/30.44/6+1),0),0)+IFERROR(IF(AND(AE174&gt;0,(TODAY()-AE174)&lt;36*365.25/12),2400/((TODAY()-AE174)/30.44/6+1),0),0)+IFERROR(IF(AND(AF174&gt;0,(TODAY()-AF174)&lt;36*365.25/12),2400/((TODAY()-AF174)/30.44/6+1),0),0)+IFERROR(IF(AND(AG174&gt;0,(TODAY()-AG174)&lt;36*365.25/12),2400/((TODAY()-AG174)/30.44/6+1),0),0),0)</f>
        <v>0</v>
      </c>
      <c r="AB174" s="4" t="n">
        <f aca="false">COUNTA(AC174:AG174)</f>
        <v>0</v>
      </c>
      <c r="AY174" s="1" t="n">
        <v>174</v>
      </c>
      <c r="BD174" s="1" t="n">
        <v>15</v>
      </c>
      <c r="BE174" s="1" t="n">
        <v>300</v>
      </c>
      <c r="BF174" s="1" t="n">
        <v>14</v>
      </c>
      <c r="BG174" s="1" t="n">
        <v>0</v>
      </c>
    </row>
    <row r="175" customFormat="false" ht="15" hidden="false" customHeight="true" outlineLevel="0" collapsed="false">
      <c r="B175" s="1" t="n">
        <v>175</v>
      </c>
      <c r="L175" s="4" t="n">
        <f aca="true">YEAR(TODAY())-H175</f>
        <v>2026</v>
      </c>
      <c r="N175" s="4" t="n">
        <f aca="true">O175+IF(AT175=1,480,0)+AA175+IF(K175="M",IF(AH175&gt;0,IF((TODAY()-AH175)/30.44&lt;6,2400,IF((TODAY()-AH175)/30.44&lt;12,1200,0)),0),0)+IF(AP175&gt;0,AP175,0)-R175-T175-S175-U175</f>
        <v>450</v>
      </c>
      <c r="O175" s="4" t="n">
        <f aca="true">IF(X175=1,1200,IF(YEAR(TODAY())-H175&lt;18,0,IF(YEAR(TODAY())-H175&lt;65,300,450)))</f>
        <v>450</v>
      </c>
      <c r="R175" s="4" t="n">
        <f aca="false">IF(MIN(AM175+IF(ISNUMBER(AN175),AN175,0),16000)&gt;=600,(MIN(AM175+IF(ISNUMBER(AN175),AN175,0),16000)-600)^0.8/10000*MIN(AM175+IF(ISNUMBER(AN175),AN175,0),16000),0)</f>
        <v>0</v>
      </c>
      <c r="S175" s="4" t="n">
        <f aca="false">IF(AB175=0,0,IF(AB175=1,30,IF(AB175=2,60,IF(AB175=3,120,IF(AB175=4,180,240)))))</f>
        <v>0</v>
      </c>
      <c r="T175" s="4" t="n">
        <f aca="false">IF(Y175&gt;0,Y175*600/MAX(1,Z175),0)</f>
        <v>0</v>
      </c>
      <c r="U175" s="4" t="n">
        <f aca="false">IF(AW175&gt;0,AW175*1000000*MAX(0,MIN(22,1+LOG10(AW175)))/100/12,0)</f>
        <v>0</v>
      </c>
      <c r="AA175" s="4" t="n">
        <f aca="true">IF(K175="W",IFERROR(IF(AND(AC175&gt;0,(TODAY()-AC175)&lt;36*365.25/12),2400/((TODAY()-AC175)/30.44/6+1),0),0)+IFERROR(IF(AND(AD175&gt;0,(TODAY()-AD175)&lt;36*365.25/12),2400/((TODAY()-AD175)/30.44/6+1),0),0)+IFERROR(IF(AND(AE175&gt;0,(TODAY()-AE175)&lt;36*365.25/12),2400/((TODAY()-AE175)/30.44/6+1),0),0)+IFERROR(IF(AND(AF175&gt;0,(TODAY()-AF175)&lt;36*365.25/12),2400/((TODAY()-AF175)/30.44/6+1),0),0)+IFERROR(IF(AND(AG175&gt;0,(TODAY()-AG175)&lt;36*365.25/12),2400/((TODAY()-AG175)/30.44/6+1),0),0),0)</f>
        <v>0</v>
      </c>
      <c r="AB175" s="4" t="n">
        <f aca="false">COUNTA(AC175:AG175)</f>
        <v>0</v>
      </c>
      <c r="AY175" s="1" t="n">
        <v>175</v>
      </c>
      <c r="BD175" s="1" t="n">
        <v>16</v>
      </c>
      <c r="BE175" s="1" t="n">
        <v>300</v>
      </c>
      <c r="BF175" s="1" t="n">
        <v>15</v>
      </c>
      <c r="BG175" s="1" t="n">
        <v>0</v>
      </c>
    </row>
    <row r="176" customFormat="false" ht="15" hidden="false" customHeight="true" outlineLevel="0" collapsed="false">
      <c r="B176" s="1" t="n">
        <v>176</v>
      </c>
      <c r="L176" s="4" t="n">
        <f aca="true">YEAR(TODAY())-H176</f>
        <v>2026</v>
      </c>
      <c r="N176" s="4" t="n">
        <f aca="true">O176+IF(AT176=1,480,0)+AA176+IF(K176="M",IF(AH176&gt;0,IF((TODAY()-AH176)/30.44&lt;6,2400,IF((TODAY()-AH176)/30.44&lt;12,1200,0)),0),0)+IF(AP176&gt;0,AP176,0)-R176-T176-S176-U176</f>
        <v>450</v>
      </c>
      <c r="O176" s="4" t="n">
        <f aca="true">IF(X176=1,1200,IF(YEAR(TODAY())-H176&lt;18,0,IF(YEAR(TODAY())-H176&lt;65,300,450)))</f>
        <v>450</v>
      </c>
      <c r="R176" s="4" t="n">
        <f aca="false">IF(MIN(AM176+IF(ISNUMBER(AN176),AN176,0),16000)&gt;=600,(MIN(AM176+IF(ISNUMBER(AN176),AN176,0),16000)-600)^0.8/10000*MIN(AM176+IF(ISNUMBER(AN176),AN176,0),16000),0)</f>
        <v>0</v>
      </c>
      <c r="S176" s="4" t="n">
        <f aca="false">IF(AB176=0,0,IF(AB176=1,30,IF(AB176=2,60,IF(AB176=3,120,IF(AB176=4,180,240)))))</f>
        <v>0</v>
      </c>
      <c r="T176" s="4" t="n">
        <f aca="false">IF(Y176&gt;0,Y176*600/MAX(1,Z176),0)</f>
        <v>0</v>
      </c>
      <c r="U176" s="4" t="n">
        <f aca="false">IF(AW176&gt;0,AW176*1000000*MAX(0,MIN(22,1+LOG10(AW176)))/100/12,0)</f>
        <v>0</v>
      </c>
      <c r="AA176" s="4" t="n">
        <f aca="true">IF(K176="W",IFERROR(IF(AND(AC176&gt;0,(TODAY()-AC176)&lt;36*365.25/12),2400/((TODAY()-AC176)/30.44/6+1),0),0)+IFERROR(IF(AND(AD176&gt;0,(TODAY()-AD176)&lt;36*365.25/12),2400/((TODAY()-AD176)/30.44/6+1),0),0)+IFERROR(IF(AND(AE176&gt;0,(TODAY()-AE176)&lt;36*365.25/12),2400/((TODAY()-AE176)/30.44/6+1),0),0)+IFERROR(IF(AND(AF176&gt;0,(TODAY()-AF176)&lt;36*365.25/12),2400/((TODAY()-AF176)/30.44/6+1),0),0)+IFERROR(IF(AND(AG176&gt;0,(TODAY()-AG176)&lt;36*365.25/12),2400/((TODAY()-AG176)/30.44/6+1),0),0),0)</f>
        <v>0</v>
      </c>
      <c r="AB176" s="4" t="n">
        <f aca="false">COUNTA(AC176:AG176)</f>
        <v>0</v>
      </c>
      <c r="AY176" s="1" t="n">
        <v>176</v>
      </c>
      <c r="BD176" s="1" t="n">
        <v>17</v>
      </c>
      <c r="BE176" s="1" t="n">
        <v>300</v>
      </c>
      <c r="BF176" s="1" t="n">
        <v>16</v>
      </c>
      <c r="BG176" s="1" t="n">
        <v>0</v>
      </c>
    </row>
    <row r="177" customFormat="false" ht="15" hidden="false" customHeight="true" outlineLevel="0" collapsed="false">
      <c r="B177" s="1" t="n">
        <v>177</v>
      </c>
      <c r="L177" s="4" t="n">
        <f aca="true">YEAR(TODAY())-H177</f>
        <v>2026</v>
      </c>
      <c r="N177" s="4" t="n">
        <f aca="true">O177+IF(AT177=1,480,0)+AA177+IF(K177="M",IF(AH177&gt;0,IF((TODAY()-AH177)/30.44&lt;6,2400,IF((TODAY()-AH177)/30.44&lt;12,1200,0)),0),0)+IF(AP177&gt;0,AP177,0)-R177-T177-S177-U177</f>
        <v>450</v>
      </c>
      <c r="O177" s="4" t="n">
        <f aca="true">IF(X177=1,1200,IF(YEAR(TODAY())-H177&lt;18,0,IF(YEAR(TODAY())-H177&lt;65,300,450)))</f>
        <v>450</v>
      </c>
      <c r="R177" s="4" t="n">
        <f aca="false">IF(MIN(AM177+IF(ISNUMBER(AN177),AN177,0),16000)&gt;=600,(MIN(AM177+IF(ISNUMBER(AN177),AN177,0),16000)-600)^0.8/10000*MIN(AM177+IF(ISNUMBER(AN177),AN177,0),16000),0)</f>
        <v>0</v>
      </c>
      <c r="S177" s="4" t="n">
        <f aca="false">IF(AB177=0,0,IF(AB177=1,30,IF(AB177=2,60,IF(AB177=3,120,IF(AB177=4,180,240)))))</f>
        <v>0</v>
      </c>
      <c r="T177" s="4" t="n">
        <f aca="false">IF(Y177&gt;0,Y177*600/MAX(1,Z177),0)</f>
        <v>0</v>
      </c>
      <c r="U177" s="4" t="n">
        <f aca="false">IF(AW177&gt;0,AW177*1000000*MAX(0,MIN(22,1+LOG10(AW177)))/100/12,0)</f>
        <v>0</v>
      </c>
      <c r="AA177" s="4" t="n">
        <f aca="true">IF(K177="W",IFERROR(IF(AND(AC177&gt;0,(TODAY()-AC177)&lt;36*365.25/12),2400/((TODAY()-AC177)/30.44/6+1),0),0)+IFERROR(IF(AND(AD177&gt;0,(TODAY()-AD177)&lt;36*365.25/12),2400/((TODAY()-AD177)/30.44/6+1),0),0)+IFERROR(IF(AND(AE177&gt;0,(TODAY()-AE177)&lt;36*365.25/12),2400/((TODAY()-AE177)/30.44/6+1),0),0)+IFERROR(IF(AND(AF177&gt;0,(TODAY()-AF177)&lt;36*365.25/12),2400/((TODAY()-AF177)/30.44/6+1),0),0)+IFERROR(IF(AND(AG177&gt;0,(TODAY()-AG177)&lt;36*365.25/12),2400/((TODAY()-AG177)/30.44/6+1),0),0),0)</f>
        <v>0</v>
      </c>
      <c r="AB177" s="4" t="n">
        <f aca="false">COUNTA(AC177:AG177)</f>
        <v>0</v>
      </c>
      <c r="AY177" s="1" t="n">
        <v>177</v>
      </c>
      <c r="BD177" s="1" t="n">
        <v>18</v>
      </c>
      <c r="BE177" s="1" t="n">
        <v>300</v>
      </c>
      <c r="BF177" s="1" t="n">
        <v>17</v>
      </c>
      <c r="BG177" s="1" t="n">
        <v>0</v>
      </c>
    </row>
    <row r="178" customFormat="false" ht="15" hidden="false" customHeight="true" outlineLevel="0" collapsed="false">
      <c r="B178" s="1" t="n">
        <v>178</v>
      </c>
      <c r="L178" s="4" t="n">
        <f aca="true">YEAR(TODAY())-H178</f>
        <v>2026</v>
      </c>
      <c r="N178" s="4" t="n">
        <f aca="true">O178+IF(AT178=1,480,0)+AA178+IF(K178="M",IF(AH178&gt;0,IF((TODAY()-AH178)/30.44&lt;6,2400,IF((TODAY()-AH178)/30.44&lt;12,1200,0)),0),0)+IF(AP178&gt;0,AP178,0)-R178-T178-S178-U178</f>
        <v>450</v>
      </c>
      <c r="O178" s="4" t="n">
        <f aca="true">IF(X178=1,1200,IF(YEAR(TODAY())-H178&lt;18,0,IF(YEAR(TODAY())-H178&lt;65,300,450)))</f>
        <v>450</v>
      </c>
      <c r="R178" s="4" t="n">
        <f aca="false">IF(MIN(AM178+IF(ISNUMBER(AN178),AN178,0),16000)&gt;=600,(MIN(AM178+IF(ISNUMBER(AN178),AN178,0),16000)-600)^0.8/10000*MIN(AM178+IF(ISNUMBER(AN178),AN178,0),16000),0)</f>
        <v>0</v>
      </c>
      <c r="S178" s="4" t="n">
        <f aca="false">IF(AB178=0,0,IF(AB178=1,30,IF(AB178=2,60,IF(AB178=3,120,IF(AB178=4,180,240)))))</f>
        <v>0</v>
      </c>
      <c r="T178" s="4" t="n">
        <f aca="false">IF(Y178&gt;0,Y178*600/MAX(1,Z178),0)</f>
        <v>0</v>
      </c>
      <c r="U178" s="4" t="n">
        <f aca="false">IF(AW178&gt;0,AW178*1000000*MAX(0,MIN(22,1+LOG10(AW178)))/100/12,0)</f>
        <v>0</v>
      </c>
      <c r="AA178" s="4" t="n">
        <f aca="true">IF(K178="W",IFERROR(IF(AND(AC178&gt;0,(TODAY()-AC178)&lt;36*365.25/12),2400/((TODAY()-AC178)/30.44/6+1),0),0)+IFERROR(IF(AND(AD178&gt;0,(TODAY()-AD178)&lt;36*365.25/12),2400/((TODAY()-AD178)/30.44/6+1),0),0)+IFERROR(IF(AND(AE178&gt;0,(TODAY()-AE178)&lt;36*365.25/12),2400/((TODAY()-AE178)/30.44/6+1),0),0)+IFERROR(IF(AND(AF178&gt;0,(TODAY()-AF178)&lt;36*365.25/12),2400/((TODAY()-AF178)/30.44/6+1),0),0)+IFERROR(IF(AND(AG178&gt;0,(TODAY()-AG178)&lt;36*365.25/12),2400/((TODAY()-AG178)/30.44/6+1),0),0),0)</f>
        <v>0</v>
      </c>
      <c r="AB178" s="4" t="n">
        <f aca="false">COUNTA(AC178:AG178)</f>
        <v>0</v>
      </c>
      <c r="AY178" s="1" t="n">
        <v>178</v>
      </c>
      <c r="BD178" s="1" t="n">
        <v>19</v>
      </c>
      <c r="BE178" s="1" t="n">
        <v>150</v>
      </c>
      <c r="BF178" s="1" t="n">
        <v>18</v>
      </c>
      <c r="BG178" s="1" t="n">
        <v>0</v>
      </c>
    </row>
    <row r="179" customFormat="false" ht="15" hidden="false" customHeight="true" outlineLevel="0" collapsed="false">
      <c r="B179" s="1" t="n">
        <v>179</v>
      </c>
      <c r="L179" s="4" t="n">
        <f aca="true">YEAR(TODAY())-H179</f>
        <v>2026</v>
      </c>
      <c r="N179" s="4" t="n">
        <f aca="true">O179+IF(AT179=1,480,0)+AA179+IF(K179="M",IF(AH179&gt;0,IF((TODAY()-AH179)/30.44&lt;6,2400,IF((TODAY()-AH179)/30.44&lt;12,1200,0)),0),0)+IF(AP179&gt;0,AP179,0)-R179-T179-S179-U179</f>
        <v>450</v>
      </c>
      <c r="O179" s="4" t="n">
        <f aca="true">IF(X179=1,1200,IF(YEAR(TODAY())-H179&lt;18,0,IF(YEAR(TODAY())-H179&lt;65,300,450)))</f>
        <v>450</v>
      </c>
      <c r="R179" s="4" t="n">
        <f aca="false">IF(MIN(AM179+IF(ISNUMBER(AN179),AN179,0),16000)&gt;=600,(MIN(AM179+IF(ISNUMBER(AN179),AN179,0),16000)-600)^0.8/10000*MIN(AM179+IF(ISNUMBER(AN179),AN179,0),16000),0)</f>
        <v>0</v>
      </c>
      <c r="S179" s="4" t="n">
        <f aca="false">IF(AB179=0,0,IF(AB179=1,30,IF(AB179=2,60,IF(AB179=3,120,IF(AB179=4,180,240)))))</f>
        <v>0</v>
      </c>
      <c r="T179" s="4" t="n">
        <f aca="false">IF(Y179&gt;0,Y179*600/MAX(1,Z179),0)</f>
        <v>0</v>
      </c>
      <c r="U179" s="4" t="n">
        <f aca="false">IF(AW179&gt;0,AW179*1000000*MAX(0,MIN(22,1+LOG10(AW179)))/100/12,0)</f>
        <v>0</v>
      </c>
      <c r="AA179" s="4" t="n">
        <f aca="true">IF(K179="W",IFERROR(IF(AND(AC179&gt;0,(TODAY()-AC179)&lt;36*365.25/12),2400/((TODAY()-AC179)/30.44/6+1),0),0)+IFERROR(IF(AND(AD179&gt;0,(TODAY()-AD179)&lt;36*365.25/12),2400/((TODAY()-AD179)/30.44/6+1),0),0)+IFERROR(IF(AND(AE179&gt;0,(TODAY()-AE179)&lt;36*365.25/12),2400/((TODAY()-AE179)/30.44/6+1),0),0)+IFERROR(IF(AND(AF179&gt;0,(TODAY()-AF179)&lt;36*365.25/12),2400/((TODAY()-AF179)/30.44/6+1),0),0)+IFERROR(IF(AND(AG179&gt;0,(TODAY()-AG179)&lt;36*365.25/12),2400/((TODAY()-AG179)/30.44/6+1),0),0),0)</f>
        <v>0</v>
      </c>
      <c r="AB179" s="4" t="n">
        <f aca="false">COUNTA(AC179:AG179)</f>
        <v>0</v>
      </c>
      <c r="AY179" s="1" t="n">
        <v>179</v>
      </c>
      <c r="BD179" s="1" t="n">
        <v>20</v>
      </c>
      <c r="BE179" s="1" t="n">
        <v>150</v>
      </c>
      <c r="BF179" s="1" t="n">
        <v>19</v>
      </c>
      <c r="BG179" s="1" t="n">
        <v>0</v>
      </c>
    </row>
    <row r="180" customFormat="false" ht="15" hidden="false" customHeight="true" outlineLevel="0" collapsed="false">
      <c r="B180" s="1" t="n">
        <v>180</v>
      </c>
      <c r="L180" s="4" t="n">
        <f aca="true">YEAR(TODAY())-H180</f>
        <v>2026</v>
      </c>
      <c r="N180" s="4" t="n">
        <f aca="true">O180+IF(AT180=1,480,0)+AA180+IF(K180="M",IF(AH180&gt;0,IF((TODAY()-AH180)/30.44&lt;6,2400,IF((TODAY()-AH180)/30.44&lt;12,1200,0)),0),0)+IF(AP180&gt;0,AP180,0)-R180-T180-S180-U180</f>
        <v>450</v>
      </c>
      <c r="O180" s="4" t="n">
        <f aca="true">IF(X180=1,1200,IF(YEAR(TODAY())-H180&lt;18,0,IF(YEAR(TODAY())-H180&lt;65,300,450)))</f>
        <v>450</v>
      </c>
      <c r="R180" s="4" t="n">
        <f aca="false">IF(MIN(AM180+IF(ISNUMBER(AN180),AN180,0),16000)&gt;=600,(MIN(AM180+IF(ISNUMBER(AN180),AN180,0),16000)-600)^0.8/10000*MIN(AM180+IF(ISNUMBER(AN180),AN180,0),16000),0)</f>
        <v>0</v>
      </c>
      <c r="S180" s="4" t="n">
        <f aca="false">IF(AB180=0,0,IF(AB180=1,30,IF(AB180=2,60,IF(AB180=3,120,IF(AB180=4,180,240)))))</f>
        <v>0</v>
      </c>
      <c r="T180" s="4" t="n">
        <f aca="false">IF(Y180&gt;0,Y180*600/MAX(1,Z180),0)</f>
        <v>0</v>
      </c>
      <c r="U180" s="4" t="n">
        <f aca="false">IF(AW180&gt;0,AW180*1000000*MAX(0,MIN(22,1+LOG10(AW180)))/100/12,0)</f>
        <v>0</v>
      </c>
      <c r="AA180" s="4" t="n">
        <f aca="true">IF(K180="W",IFERROR(IF(AND(AC180&gt;0,(TODAY()-AC180)&lt;36*365.25/12),2400/((TODAY()-AC180)/30.44/6+1),0),0)+IFERROR(IF(AND(AD180&gt;0,(TODAY()-AD180)&lt;36*365.25/12),2400/((TODAY()-AD180)/30.44/6+1),0),0)+IFERROR(IF(AND(AE180&gt;0,(TODAY()-AE180)&lt;36*365.25/12),2400/((TODAY()-AE180)/30.44/6+1),0),0)+IFERROR(IF(AND(AF180&gt;0,(TODAY()-AF180)&lt;36*365.25/12),2400/((TODAY()-AF180)/30.44/6+1),0),0)+IFERROR(IF(AND(AG180&gt;0,(TODAY()-AG180)&lt;36*365.25/12),2400/((TODAY()-AG180)/30.44/6+1),0),0),0)</f>
        <v>0</v>
      </c>
      <c r="AB180" s="4" t="n">
        <f aca="false">COUNTA(AC180:AG180)</f>
        <v>0</v>
      </c>
      <c r="AY180" s="1" t="n">
        <v>180</v>
      </c>
      <c r="BD180" s="1" t="n">
        <v>21</v>
      </c>
      <c r="BE180" s="1" t="n">
        <v>150</v>
      </c>
      <c r="BF180" s="1" t="n">
        <v>20</v>
      </c>
      <c r="BG180" s="1" t="n">
        <v>0</v>
      </c>
    </row>
    <row r="181" customFormat="false" ht="15" hidden="false" customHeight="true" outlineLevel="0" collapsed="false">
      <c r="B181" s="1" t="n">
        <v>181</v>
      </c>
      <c r="L181" s="4" t="n">
        <f aca="true">YEAR(TODAY())-H181</f>
        <v>2026</v>
      </c>
      <c r="N181" s="4" t="n">
        <f aca="true">O181+IF(AT181=1,480,0)+AA181+IF(K181="M",IF(AH181&gt;0,IF((TODAY()-AH181)/30.44&lt;6,2400,IF((TODAY()-AH181)/30.44&lt;12,1200,0)),0),0)+IF(AP181&gt;0,AP181,0)-R181-T181-S181-U181</f>
        <v>450</v>
      </c>
      <c r="O181" s="4" t="n">
        <f aca="true">IF(X181=1,1200,IF(YEAR(TODAY())-H181&lt;18,0,IF(YEAR(TODAY())-H181&lt;65,300,450)))</f>
        <v>450</v>
      </c>
      <c r="R181" s="4" t="n">
        <f aca="false">IF(MIN(AM181+IF(ISNUMBER(AN181),AN181,0),16000)&gt;=600,(MIN(AM181+IF(ISNUMBER(AN181),AN181,0),16000)-600)^0.8/10000*MIN(AM181+IF(ISNUMBER(AN181),AN181,0),16000),0)</f>
        <v>0</v>
      </c>
      <c r="S181" s="4" t="n">
        <f aca="false">IF(AB181=0,0,IF(AB181=1,30,IF(AB181=2,60,IF(AB181=3,120,IF(AB181=4,180,240)))))</f>
        <v>0</v>
      </c>
      <c r="T181" s="4" t="n">
        <f aca="false">IF(Y181&gt;0,Y181*600/MAX(1,Z181),0)</f>
        <v>0</v>
      </c>
      <c r="U181" s="4" t="n">
        <f aca="false">IF(AW181&gt;0,AW181*1000000*MAX(0,MIN(22,1+LOG10(AW181)))/100/12,0)</f>
        <v>0</v>
      </c>
      <c r="AA181" s="4" t="n">
        <f aca="true">IF(K181="W",IFERROR(IF(AND(AC181&gt;0,(TODAY()-AC181)&lt;36*365.25/12),2400/((TODAY()-AC181)/30.44/6+1),0),0)+IFERROR(IF(AND(AD181&gt;0,(TODAY()-AD181)&lt;36*365.25/12),2400/((TODAY()-AD181)/30.44/6+1),0),0)+IFERROR(IF(AND(AE181&gt;0,(TODAY()-AE181)&lt;36*365.25/12),2400/((TODAY()-AE181)/30.44/6+1),0),0)+IFERROR(IF(AND(AF181&gt;0,(TODAY()-AF181)&lt;36*365.25/12),2400/((TODAY()-AF181)/30.44/6+1),0),0)+IFERROR(IF(AND(AG181&gt;0,(TODAY()-AG181)&lt;36*365.25/12),2400/((TODAY()-AG181)/30.44/6+1),0),0),0)</f>
        <v>0</v>
      </c>
      <c r="AB181" s="4" t="n">
        <f aca="false">COUNTA(AC181:AG181)</f>
        <v>0</v>
      </c>
      <c r="AY181" s="1" t="n">
        <v>181</v>
      </c>
      <c r="BD181" s="1" t="n">
        <v>22</v>
      </c>
      <c r="BE181" s="1" t="n">
        <v>150</v>
      </c>
      <c r="BF181" s="1" t="n">
        <v>21</v>
      </c>
      <c r="BG181" s="1" t="n">
        <v>0</v>
      </c>
    </row>
    <row r="182" customFormat="false" ht="15" hidden="false" customHeight="true" outlineLevel="0" collapsed="false">
      <c r="B182" s="1" t="n">
        <v>182</v>
      </c>
      <c r="L182" s="4" t="n">
        <f aca="true">YEAR(TODAY())-H182</f>
        <v>2026</v>
      </c>
      <c r="N182" s="4" t="n">
        <f aca="true">O182+IF(AT182=1,480,0)+AA182+IF(K182="M",IF(AH182&gt;0,IF((TODAY()-AH182)/30.44&lt;6,2400,IF((TODAY()-AH182)/30.44&lt;12,1200,0)),0),0)+IF(AP182&gt;0,AP182,0)-R182-T182-S182-U182</f>
        <v>450</v>
      </c>
      <c r="O182" s="4" t="n">
        <f aca="true">IF(X182=1,1200,IF(YEAR(TODAY())-H182&lt;18,0,IF(YEAR(TODAY())-H182&lt;65,300,450)))</f>
        <v>450</v>
      </c>
      <c r="R182" s="4" t="n">
        <f aca="false">IF(MIN(AM182+IF(ISNUMBER(AN182),AN182,0),16000)&gt;=600,(MIN(AM182+IF(ISNUMBER(AN182),AN182,0),16000)-600)^0.8/10000*MIN(AM182+IF(ISNUMBER(AN182),AN182,0),16000),0)</f>
        <v>0</v>
      </c>
      <c r="S182" s="4" t="n">
        <f aca="false">IF(AB182=0,0,IF(AB182=1,30,IF(AB182=2,60,IF(AB182=3,120,IF(AB182=4,180,240)))))</f>
        <v>0</v>
      </c>
      <c r="T182" s="4" t="n">
        <f aca="false">IF(Y182&gt;0,Y182*600/MAX(1,Z182),0)</f>
        <v>0</v>
      </c>
      <c r="U182" s="4" t="n">
        <f aca="false">IF(AW182&gt;0,AW182*1000000*MAX(0,MIN(22,1+LOG10(AW182)))/100/12,0)</f>
        <v>0</v>
      </c>
      <c r="AA182" s="4" t="n">
        <f aca="true">IF(K182="W",IFERROR(IF(AND(AC182&gt;0,(TODAY()-AC182)&lt;36*365.25/12),2400/((TODAY()-AC182)/30.44/6+1),0),0)+IFERROR(IF(AND(AD182&gt;0,(TODAY()-AD182)&lt;36*365.25/12),2400/((TODAY()-AD182)/30.44/6+1),0),0)+IFERROR(IF(AND(AE182&gt;0,(TODAY()-AE182)&lt;36*365.25/12),2400/((TODAY()-AE182)/30.44/6+1),0),0)+IFERROR(IF(AND(AF182&gt;0,(TODAY()-AF182)&lt;36*365.25/12),2400/((TODAY()-AF182)/30.44/6+1),0),0)+IFERROR(IF(AND(AG182&gt;0,(TODAY()-AG182)&lt;36*365.25/12),2400/((TODAY()-AG182)/30.44/6+1),0),0),0)</f>
        <v>0</v>
      </c>
      <c r="AB182" s="4" t="n">
        <f aca="false">COUNTA(AC182:AG182)</f>
        <v>0</v>
      </c>
      <c r="AY182" s="1" t="n">
        <v>182</v>
      </c>
      <c r="BD182" s="1" t="n">
        <v>23</v>
      </c>
      <c r="BE182" s="1" t="n">
        <v>150</v>
      </c>
      <c r="BF182" s="1" t="n">
        <v>22</v>
      </c>
      <c r="BG182" s="1" t="n">
        <v>0</v>
      </c>
    </row>
    <row r="183" customFormat="false" ht="15" hidden="false" customHeight="true" outlineLevel="0" collapsed="false">
      <c r="B183" s="1" t="n">
        <v>183</v>
      </c>
      <c r="L183" s="4" t="n">
        <f aca="true">YEAR(TODAY())-H183</f>
        <v>2026</v>
      </c>
      <c r="N183" s="4" t="n">
        <f aca="true">O183+IF(AT183=1,480,0)+AA183+IF(K183="M",IF(AH183&gt;0,IF((TODAY()-AH183)/30.44&lt;6,2400,IF((TODAY()-AH183)/30.44&lt;12,1200,0)),0),0)+IF(AP183&gt;0,AP183,0)-R183-T183-S183-U183</f>
        <v>450</v>
      </c>
      <c r="O183" s="4" t="n">
        <f aca="true">IF(X183=1,1200,IF(YEAR(TODAY())-H183&lt;18,0,IF(YEAR(TODAY())-H183&lt;65,300,450)))</f>
        <v>450</v>
      </c>
      <c r="R183" s="4" t="n">
        <f aca="false">IF(MIN(AM183+IF(ISNUMBER(AN183),AN183,0),16000)&gt;=600,(MIN(AM183+IF(ISNUMBER(AN183),AN183,0),16000)-600)^0.8/10000*MIN(AM183+IF(ISNUMBER(AN183),AN183,0),16000),0)</f>
        <v>0</v>
      </c>
      <c r="S183" s="4" t="n">
        <f aca="false">IF(AB183=0,0,IF(AB183=1,30,IF(AB183=2,60,IF(AB183=3,120,IF(AB183=4,180,240)))))</f>
        <v>0</v>
      </c>
      <c r="T183" s="4" t="n">
        <f aca="false">IF(Y183&gt;0,Y183*600/MAX(1,Z183),0)</f>
        <v>0</v>
      </c>
      <c r="U183" s="4" t="n">
        <f aca="false">IF(AW183&gt;0,AW183*1000000*MAX(0,MIN(22,1+LOG10(AW183)))/100/12,0)</f>
        <v>0</v>
      </c>
      <c r="AA183" s="4" t="n">
        <f aca="true">IF(K183="W",IFERROR(IF(AND(AC183&gt;0,(TODAY()-AC183)&lt;36*365.25/12),2400/((TODAY()-AC183)/30.44/6+1),0),0)+IFERROR(IF(AND(AD183&gt;0,(TODAY()-AD183)&lt;36*365.25/12),2400/((TODAY()-AD183)/30.44/6+1),0),0)+IFERROR(IF(AND(AE183&gt;0,(TODAY()-AE183)&lt;36*365.25/12),2400/((TODAY()-AE183)/30.44/6+1),0),0)+IFERROR(IF(AND(AF183&gt;0,(TODAY()-AF183)&lt;36*365.25/12),2400/((TODAY()-AF183)/30.44/6+1),0),0)+IFERROR(IF(AND(AG183&gt;0,(TODAY()-AG183)&lt;36*365.25/12),2400/((TODAY()-AG183)/30.44/6+1),0),0),0)</f>
        <v>0</v>
      </c>
      <c r="AB183" s="4" t="n">
        <f aca="false">COUNTA(AC183:AG183)</f>
        <v>0</v>
      </c>
      <c r="AY183" s="1" t="n">
        <v>183</v>
      </c>
      <c r="BD183" s="1" t="n">
        <v>24</v>
      </c>
      <c r="BE183" s="1" t="n">
        <v>150</v>
      </c>
      <c r="BF183" s="1" t="n">
        <v>23</v>
      </c>
      <c r="BG183" s="1" t="n">
        <v>0</v>
      </c>
    </row>
    <row r="184" customFormat="false" ht="15" hidden="false" customHeight="true" outlineLevel="0" collapsed="false">
      <c r="B184" s="1" t="n">
        <v>184</v>
      </c>
      <c r="L184" s="4" t="n">
        <f aca="true">YEAR(TODAY())-H184</f>
        <v>2026</v>
      </c>
      <c r="N184" s="4" t="n">
        <f aca="true">O184+IF(AT184=1,480,0)+AA184+IF(K184="M",IF(AH184&gt;0,IF((TODAY()-AH184)/30.44&lt;6,2400,IF((TODAY()-AH184)/30.44&lt;12,1200,0)),0),0)+IF(AP184&gt;0,AP184,0)-R184-T184-S184-U184</f>
        <v>450</v>
      </c>
      <c r="O184" s="4" t="n">
        <f aca="true">IF(X184=1,1200,IF(YEAR(TODAY())-H184&lt;18,0,IF(YEAR(TODAY())-H184&lt;65,300,450)))</f>
        <v>450</v>
      </c>
      <c r="R184" s="4" t="n">
        <f aca="false">IF(MIN(AM184+IF(ISNUMBER(AN184),AN184,0),16000)&gt;=600,(MIN(AM184+IF(ISNUMBER(AN184),AN184,0),16000)-600)^0.8/10000*MIN(AM184+IF(ISNUMBER(AN184),AN184,0),16000),0)</f>
        <v>0</v>
      </c>
      <c r="S184" s="4" t="n">
        <f aca="false">IF(AB184=0,0,IF(AB184=1,30,IF(AB184=2,60,IF(AB184=3,120,IF(AB184=4,180,240)))))</f>
        <v>0</v>
      </c>
      <c r="T184" s="4" t="n">
        <f aca="false">IF(Y184&gt;0,Y184*600/MAX(1,Z184),0)</f>
        <v>0</v>
      </c>
      <c r="U184" s="4" t="n">
        <f aca="false">IF(AW184&gt;0,AW184*1000000*MAX(0,MIN(22,1+LOG10(AW184)))/100/12,0)</f>
        <v>0</v>
      </c>
      <c r="AA184" s="4" t="n">
        <f aca="true">IF(K184="W",IFERROR(IF(AND(AC184&gt;0,(TODAY()-AC184)&lt;36*365.25/12),2400/((TODAY()-AC184)/30.44/6+1),0),0)+IFERROR(IF(AND(AD184&gt;0,(TODAY()-AD184)&lt;36*365.25/12),2400/((TODAY()-AD184)/30.44/6+1),0),0)+IFERROR(IF(AND(AE184&gt;0,(TODAY()-AE184)&lt;36*365.25/12),2400/((TODAY()-AE184)/30.44/6+1),0),0)+IFERROR(IF(AND(AF184&gt;0,(TODAY()-AF184)&lt;36*365.25/12),2400/((TODAY()-AF184)/30.44/6+1),0),0)+IFERROR(IF(AND(AG184&gt;0,(TODAY()-AG184)&lt;36*365.25/12),2400/((TODAY()-AG184)/30.44/6+1),0),0),0)</f>
        <v>0</v>
      </c>
      <c r="AB184" s="4" t="n">
        <f aca="false">COUNTA(AC184:AG184)</f>
        <v>0</v>
      </c>
      <c r="AY184" s="1" t="n">
        <v>184</v>
      </c>
      <c r="BE184" s="1" t="n">
        <v>0</v>
      </c>
      <c r="BF184" s="1" t="n">
        <v>24</v>
      </c>
      <c r="BG184" s="1" t="n">
        <v>0</v>
      </c>
    </row>
    <row r="185" customFormat="false" ht="15" hidden="false" customHeight="true" outlineLevel="0" collapsed="false">
      <c r="B185" s="1" t="n">
        <v>185</v>
      </c>
      <c r="L185" s="4" t="n">
        <f aca="true">YEAR(TODAY())-H185</f>
        <v>2026</v>
      </c>
      <c r="N185" s="4" t="n">
        <f aca="true">O185+IF(AT185=1,480,0)+AA185+IF(K185="M",IF(AH185&gt;0,IF((TODAY()-AH185)/30.44&lt;6,2400,IF((TODAY()-AH185)/30.44&lt;12,1200,0)),0),0)+IF(AP185&gt;0,AP185,0)-R185-T185-S185-U185</f>
        <v>450</v>
      </c>
      <c r="O185" s="4" t="n">
        <f aca="true">IF(X185=1,1200,IF(YEAR(TODAY())-H185&lt;18,0,IF(YEAR(TODAY())-H185&lt;65,300,450)))</f>
        <v>450</v>
      </c>
      <c r="R185" s="4" t="n">
        <f aca="false">IF(MIN(AM185+IF(ISNUMBER(AN185),AN185,0),16000)&gt;=600,(MIN(AM185+IF(ISNUMBER(AN185),AN185,0),16000)-600)^0.8/10000*MIN(AM185+IF(ISNUMBER(AN185),AN185,0),16000),0)</f>
        <v>0</v>
      </c>
      <c r="S185" s="4" t="n">
        <f aca="false">IF(AB185=0,0,IF(AB185=1,30,IF(AB185=2,60,IF(AB185=3,120,IF(AB185=4,180,240)))))</f>
        <v>0</v>
      </c>
      <c r="T185" s="4" t="n">
        <f aca="false">IF(Y185&gt;0,Y185*600/MAX(1,Z185),0)</f>
        <v>0</v>
      </c>
      <c r="U185" s="4" t="n">
        <f aca="false">IF(AW185&gt;0,AW185*1000000*MAX(0,MIN(22,1+LOG10(AW185)))/100/12,0)</f>
        <v>0</v>
      </c>
      <c r="AA185" s="4" t="n">
        <f aca="true">IF(K185="W",IFERROR(IF(AND(AC185&gt;0,(TODAY()-AC185)&lt;36*365.25/12),2400/((TODAY()-AC185)/30.44/6+1),0),0)+IFERROR(IF(AND(AD185&gt;0,(TODAY()-AD185)&lt;36*365.25/12),2400/((TODAY()-AD185)/30.44/6+1),0),0)+IFERROR(IF(AND(AE185&gt;0,(TODAY()-AE185)&lt;36*365.25/12),2400/((TODAY()-AE185)/30.44/6+1),0),0)+IFERROR(IF(AND(AF185&gt;0,(TODAY()-AF185)&lt;36*365.25/12),2400/((TODAY()-AF185)/30.44/6+1),0),0)+IFERROR(IF(AND(AG185&gt;0,(TODAY()-AG185)&lt;36*365.25/12),2400/((TODAY()-AG185)/30.44/6+1),0),0),0)</f>
        <v>0</v>
      </c>
      <c r="AB185" s="4" t="n">
        <f aca="false">COUNTA(AC185:AG185)</f>
        <v>0</v>
      </c>
      <c r="AY185" s="1" t="n">
        <v>185</v>
      </c>
      <c r="BF185" s="1" t="n">
        <v>25</v>
      </c>
      <c r="BG185" s="1" t="n">
        <v>0</v>
      </c>
    </row>
    <row r="186" customFormat="false" ht="15" hidden="false" customHeight="true" outlineLevel="0" collapsed="false">
      <c r="B186" s="1" t="n">
        <v>186</v>
      </c>
      <c r="L186" s="4" t="n">
        <f aca="true">YEAR(TODAY())-H186</f>
        <v>2026</v>
      </c>
      <c r="N186" s="4" t="n">
        <f aca="true">O186+IF(AT186=1,480,0)+AA186+IF(K186="M",IF(AH186&gt;0,IF((TODAY()-AH186)/30.44&lt;6,2400,IF((TODAY()-AH186)/30.44&lt;12,1200,0)),0),0)+IF(AP186&gt;0,AP186,0)-R186-T186-S186-U186</f>
        <v>450</v>
      </c>
      <c r="O186" s="4" t="n">
        <f aca="true">IF(X186=1,1200,IF(YEAR(TODAY())-H186&lt;18,0,IF(YEAR(TODAY())-H186&lt;65,300,450)))</f>
        <v>450</v>
      </c>
      <c r="R186" s="4" t="n">
        <f aca="false">IF(MIN(AM186+IF(ISNUMBER(AN186),AN186,0),16000)&gt;=600,(MIN(AM186+IF(ISNUMBER(AN186),AN186,0),16000)-600)^0.8/10000*MIN(AM186+IF(ISNUMBER(AN186),AN186,0),16000),0)</f>
        <v>0</v>
      </c>
      <c r="S186" s="4" t="n">
        <f aca="false">IF(AB186=0,0,IF(AB186=1,30,IF(AB186=2,60,IF(AB186=3,120,IF(AB186=4,180,240)))))</f>
        <v>0</v>
      </c>
      <c r="T186" s="4" t="n">
        <f aca="false">IF(Y186&gt;0,Y186*600/MAX(1,Z186),0)</f>
        <v>0</v>
      </c>
      <c r="U186" s="4" t="n">
        <f aca="false">IF(AW186&gt;0,AW186*1000000*MAX(0,MIN(22,1+LOG10(AW186)))/100/12,0)</f>
        <v>0</v>
      </c>
      <c r="AA186" s="4" t="n">
        <f aca="true">IF(K186="W",IFERROR(IF(AND(AC186&gt;0,(TODAY()-AC186)&lt;36*365.25/12),2400/((TODAY()-AC186)/30.44/6+1),0),0)+IFERROR(IF(AND(AD186&gt;0,(TODAY()-AD186)&lt;36*365.25/12),2400/((TODAY()-AD186)/30.44/6+1),0),0)+IFERROR(IF(AND(AE186&gt;0,(TODAY()-AE186)&lt;36*365.25/12),2400/((TODAY()-AE186)/30.44/6+1),0),0)+IFERROR(IF(AND(AF186&gt;0,(TODAY()-AF186)&lt;36*365.25/12),2400/((TODAY()-AF186)/30.44/6+1),0),0)+IFERROR(IF(AND(AG186&gt;0,(TODAY()-AG186)&lt;36*365.25/12),2400/((TODAY()-AG186)/30.44/6+1),0),0),0)</f>
        <v>0</v>
      </c>
      <c r="AB186" s="4" t="n">
        <f aca="false">COUNTA(AC186:AG186)</f>
        <v>0</v>
      </c>
      <c r="AY186" s="1" t="n">
        <v>186</v>
      </c>
      <c r="BF186" s="1" t="n">
        <v>26</v>
      </c>
      <c r="BG186" s="1" t="n">
        <v>0</v>
      </c>
    </row>
    <row r="187" customFormat="false" ht="15" hidden="false" customHeight="true" outlineLevel="0" collapsed="false">
      <c r="B187" s="1" t="n">
        <v>187</v>
      </c>
      <c r="L187" s="4" t="n">
        <f aca="true">YEAR(TODAY())-H187</f>
        <v>2026</v>
      </c>
      <c r="N187" s="4" t="n">
        <f aca="true">O187+IF(AT187=1,480,0)+AA187+IF(K187="M",IF(AH187&gt;0,IF((TODAY()-AH187)/30.44&lt;6,2400,IF((TODAY()-AH187)/30.44&lt;12,1200,0)),0),0)+IF(AP187&gt;0,AP187,0)-R187-T187-S187-U187</f>
        <v>450</v>
      </c>
      <c r="O187" s="4" t="n">
        <f aca="true">IF(X187=1,1200,IF(YEAR(TODAY())-H187&lt;18,0,IF(YEAR(TODAY())-H187&lt;65,300,450)))</f>
        <v>450</v>
      </c>
      <c r="R187" s="4" t="n">
        <f aca="false">IF(MIN(AM187+IF(ISNUMBER(AN187),AN187,0),16000)&gt;=600,(MIN(AM187+IF(ISNUMBER(AN187),AN187,0),16000)-600)^0.8/10000*MIN(AM187+IF(ISNUMBER(AN187),AN187,0),16000),0)</f>
        <v>0</v>
      </c>
      <c r="S187" s="4" t="n">
        <f aca="false">IF(AB187=0,0,IF(AB187=1,30,IF(AB187=2,60,IF(AB187=3,120,IF(AB187=4,180,240)))))</f>
        <v>0</v>
      </c>
      <c r="T187" s="4" t="n">
        <f aca="false">IF(Y187&gt;0,Y187*600/MAX(1,Z187),0)</f>
        <v>0</v>
      </c>
      <c r="U187" s="4" t="n">
        <f aca="false">IF(AW187&gt;0,AW187*1000000*MAX(0,MIN(22,1+LOG10(AW187)))/100/12,0)</f>
        <v>0</v>
      </c>
      <c r="AA187" s="4" t="n">
        <f aca="true">IF(K187="W",IFERROR(IF(AND(AC187&gt;0,(TODAY()-AC187)&lt;36*365.25/12),2400/((TODAY()-AC187)/30.44/6+1),0),0)+IFERROR(IF(AND(AD187&gt;0,(TODAY()-AD187)&lt;36*365.25/12),2400/((TODAY()-AD187)/30.44/6+1),0),0)+IFERROR(IF(AND(AE187&gt;0,(TODAY()-AE187)&lt;36*365.25/12),2400/((TODAY()-AE187)/30.44/6+1),0),0)+IFERROR(IF(AND(AF187&gt;0,(TODAY()-AF187)&lt;36*365.25/12),2400/((TODAY()-AF187)/30.44/6+1),0),0)+IFERROR(IF(AND(AG187&gt;0,(TODAY()-AG187)&lt;36*365.25/12),2400/((TODAY()-AG187)/30.44/6+1),0),0),0)</f>
        <v>0</v>
      </c>
      <c r="AB187" s="4" t="n">
        <f aca="false">COUNTA(AC187:AG187)</f>
        <v>0</v>
      </c>
      <c r="AY187" s="1" t="n">
        <v>187</v>
      </c>
      <c r="BF187" s="1" t="n">
        <v>27</v>
      </c>
      <c r="BG187" s="1" t="n">
        <v>0</v>
      </c>
    </row>
    <row r="188" customFormat="false" ht="15" hidden="false" customHeight="true" outlineLevel="0" collapsed="false">
      <c r="B188" s="1" t="n">
        <v>188</v>
      </c>
      <c r="L188" s="4" t="n">
        <f aca="true">YEAR(TODAY())-H188</f>
        <v>2026</v>
      </c>
      <c r="N188" s="4" t="n">
        <f aca="true">O188+IF(AT188=1,480,0)+AA188+IF(K188="M",IF(AH188&gt;0,IF((TODAY()-AH188)/30.44&lt;6,2400,IF((TODAY()-AH188)/30.44&lt;12,1200,0)),0),0)+IF(AP188&gt;0,AP188,0)-R188-T188-S188-U188</f>
        <v>450</v>
      </c>
      <c r="O188" s="4" t="n">
        <f aca="true">IF(X188=1,1200,IF(YEAR(TODAY())-H188&lt;18,0,IF(YEAR(TODAY())-H188&lt;65,300,450)))</f>
        <v>450</v>
      </c>
      <c r="R188" s="4" t="n">
        <f aca="false">IF(MIN(AM188+IF(ISNUMBER(AN188),AN188,0),16000)&gt;=600,(MIN(AM188+IF(ISNUMBER(AN188),AN188,0),16000)-600)^0.8/10000*MIN(AM188+IF(ISNUMBER(AN188),AN188,0),16000),0)</f>
        <v>0</v>
      </c>
      <c r="S188" s="4" t="n">
        <f aca="false">IF(AB188=0,0,IF(AB188=1,30,IF(AB188=2,60,IF(AB188=3,120,IF(AB188=4,180,240)))))</f>
        <v>0</v>
      </c>
      <c r="T188" s="4" t="n">
        <f aca="false">IF(Y188&gt;0,Y188*600/MAX(1,Z188),0)</f>
        <v>0</v>
      </c>
      <c r="U188" s="4" t="n">
        <f aca="false">IF(AW188&gt;0,AW188*1000000*MAX(0,MIN(22,1+LOG10(AW188)))/100/12,0)</f>
        <v>0</v>
      </c>
      <c r="AA188" s="4" t="n">
        <f aca="true">IF(K188="W",IFERROR(IF(AND(AC188&gt;0,(TODAY()-AC188)&lt;36*365.25/12),2400/((TODAY()-AC188)/30.44/6+1),0),0)+IFERROR(IF(AND(AD188&gt;0,(TODAY()-AD188)&lt;36*365.25/12),2400/((TODAY()-AD188)/30.44/6+1),0),0)+IFERROR(IF(AND(AE188&gt;0,(TODAY()-AE188)&lt;36*365.25/12),2400/((TODAY()-AE188)/30.44/6+1),0),0)+IFERROR(IF(AND(AF188&gt;0,(TODAY()-AF188)&lt;36*365.25/12),2400/((TODAY()-AF188)/30.44/6+1),0),0)+IFERROR(IF(AND(AG188&gt;0,(TODAY()-AG188)&lt;36*365.25/12),2400/((TODAY()-AG188)/30.44/6+1),0),0),0)</f>
        <v>0</v>
      </c>
      <c r="AB188" s="4" t="n">
        <f aca="false">COUNTA(AC188:AG188)</f>
        <v>0</v>
      </c>
      <c r="AY188" s="1" t="n">
        <v>188</v>
      </c>
      <c r="BF188" s="1" t="n">
        <v>28</v>
      </c>
      <c r="BG188" s="1" t="n">
        <v>0</v>
      </c>
    </row>
    <row r="189" customFormat="false" ht="15" hidden="false" customHeight="true" outlineLevel="0" collapsed="false">
      <c r="B189" s="1" t="n">
        <v>189</v>
      </c>
      <c r="L189" s="4" t="n">
        <f aca="true">YEAR(TODAY())-H189</f>
        <v>2026</v>
      </c>
      <c r="N189" s="4" t="n">
        <f aca="true">O189+IF(AT189=1,480,0)+AA189+IF(K189="M",IF(AH189&gt;0,IF((TODAY()-AH189)/30.44&lt;6,2400,IF((TODAY()-AH189)/30.44&lt;12,1200,0)),0),0)+IF(AP189&gt;0,AP189,0)-R189-T189-S189-U189</f>
        <v>450</v>
      </c>
      <c r="O189" s="4" t="n">
        <f aca="true">IF(X189=1,1200,IF(YEAR(TODAY())-H189&lt;18,0,IF(YEAR(TODAY())-H189&lt;65,300,450)))</f>
        <v>450</v>
      </c>
      <c r="R189" s="4" t="n">
        <f aca="false">IF(MIN(AM189+IF(ISNUMBER(AN189),AN189,0),16000)&gt;=600,(MIN(AM189+IF(ISNUMBER(AN189),AN189,0),16000)-600)^0.8/10000*MIN(AM189+IF(ISNUMBER(AN189),AN189,0),16000),0)</f>
        <v>0</v>
      </c>
      <c r="S189" s="4" t="n">
        <f aca="false">IF(AB189=0,0,IF(AB189=1,30,IF(AB189=2,60,IF(AB189=3,120,IF(AB189=4,180,240)))))</f>
        <v>0</v>
      </c>
      <c r="T189" s="4" t="n">
        <f aca="false">IF(Y189&gt;0,Y189*600/MAX(1,Z189),0)</f>
        <v>0</v>
      </c>
      <c r="U189" s="4" t="n">
        <f aca="false">IF(AW189&gt;0,AW189*1000000*MAX(0,MIN(22,1+LOG10(AW189)))/100/12,0)</f>
        <v>0</v>
      </c>
      <c r="AA189" s="4" t="n">
        <f aca="true">IF(K189="W",IFERROR(IF(AND(AC189&gt;0,(TODAY()-AC189)&lt;36*365.25/12),2400/((TODAY()-AC189)/30.44/6+1),0),0)+IFERROR(IF(AND(AD189&gt;0,(TODAY()-AD189)&lt;36*365.25/12),2400/((TODAY()-AD189)/30.44/6+1),0),0)+IFERROR(IF(AND(AE189&gt;0,(TODAY()-AE189)&lt;36*365.25/12),2400/((TODAY()-AE189)/30.44/6+1),0),0)+IFERROR(IF(AND(AF189&gt;0,(TODAY()-AF189)&lt;36*365.25/12),2400/((TODAY()-AF189)/30.44/6+1),0),0)+IFERROR(IF(AND(AG189&gt;0,(TODAY()-AG189)&lt;36*365.25/12),2400/((TODAY()-AG189)/30.44/6+1),0),0),0)</f>
        <v>0</v>
      </c>
      <c r="AB189" s="4" t="n">
        <f aca="false">COUNTA(AC189:AG189)</f>
        <v>0</v>
      </c>
      <c r="AY189" s="1" t="n">
        <v>189</v>
      </c>
    </row>
    <row r="190" customFormat="false" ht="15" hidden="false" customHeight="true" outlineLevel="0" collapsed="false">
      <c r="B190" s="1" t="n">
        <v>190</v>
      </c>
      <c r="L190" s="4" t="n">
        <f aca="true">YEAR(TODAY())-H190</f>
        <v>2026</v>
      </c>
      <c r="N190" s="4" t="n">
        <f aca="true">O190+IF(AT190=1,480,0)+AA190+IF(K190="M",IF(AH190&gt;0,IF((TODAY()-AH190)/30.44&lt;6,2400,IF((TODAY()-AH190)/30.44&lt;12,1200,0)),0),0)+IF(AP190&gt;0,AP190,0)-R190-T190-S190-U190</f>
        <v>450</v>
      </c>
      <c r="O190" s="4" t="n">
        <f aca="true">IF(X190=1,1200,IF(YEAR(TODAY())-H190&lt;18,0,IF(YEAR(TODAY())-H190&lt;65,300,450)))</f>
        <v>450</v>
      </c>
      <c r="R190" s="4" t="n">
        <f aca="false">IF(MIN(AM190+IF(ISNUMBER(AN190),AN190,0),16000)&gt;=600,(MIN(AM190+IF(ISNUMBER(AN190),AN190,0),16000)-600)^0.8/10000*MIN(AM190+IF(ISNUMBER(AN190),AN190,0),16000),0)</f>
        <v>0</v>
      </c>
      <c r="S190" s="4" t="n">
        <f aca="false">IF(AB190=0,0,IF(AB190=1,30,IF(AB190=2,60,IF(AB190=3,120,IF(AB190=4,180,240)))))</f>
        <v>0</v>
      </c>
      <c r="T190" s="4" t="n">
        <f aca="false">IF(Y190&gt;0,Y190*600/MAX(1,Z190),0)</f>
        <v>0</v>
      </c>
      <c r="U190" s="4" t="n">
        <f aca="false">IF(AW190&gt;0,AW190*1000000*MAX(0,MIN(22,1+LOG10(AW190)))/100/12,0)</f>
        <v>0</v>
      </c>
      <c r="AA190" s="4" t="n">
        <f aca="true">IF(K190="W",IFERROR(IF(AND(AC190&gt;0,(TODAY()-AC190)&lt;36*365.25/12),2400/((TODAY()-AC190)/30.44/6+1),0),0)+IFERROR(IF(AND(AD190&gt;0,(TODAY()-AD190)&lt;36*365.25/12),2400/((TODAY()-AD190)/30.44/6+1),0),0)+IFERROR(IF(AND(AE190&gt;0,(TODAY()-AE190)&lt;36*365.25/12),2400/((TODAY()-AE190)/30.44/6+1),0),0)+IFERROR(IF(AND(AF190&gt;0,(TODAY()-AF190)&lt;36*365.25/12),2400/((TODAY()-AF190)/30.44/6+1),0),0)+IFERROR(IF(AND(AG190&gt;0,(TODAY()-AG190)&lt;36*365.25/12),2400/((TODAY()-AG190)/30.44/6+1),0),0),0)</f>
        <v>0</v>
      </c>
      <c r="AB190" s="4" t="n">
        <f aca="false">COUNTA(AC190:AG190)</f>
        <v>0</v>
      </c>
      <c r="AY190" s="1" t="n">
        <v>190</v>
      </c>
    </row>
    <row r="191" customFormat="false" ht="15" hidden="false" customHeight="true" outlineLevel="0" collapsed="false">
      <c r="B191" s="1" t="n">
        <v>191</v>
      </c>
      <c r="L191" s="4" t="n">
        <f aca="true">YEAR(TODAY())-H191</f>
        <v>2026</v>
      </c>
      <c r="N191" s="4" t="n">
        <f aca="true">O191+IF(AT191=1,480,0)+AA191+IF(K191="M",IF(AH191&gt;0,IF((TODAY()-AH191)/30.44&lt;6,2400,IF((TODAY()-AH191)/30.44&lt;12,1200,0)),0),0)+IF(AP191&gt;0,AP191,0)-R191-T191-S191-U191</f>
        <v>450</v>
      </c>
      <c r="O191" s="4" t="n">
        <f aca="true">IF(X191=1,1200,IF(YEAR(TODAY())-H191&lt;18,0,IF(YEAR(TODAY())-H191&lt;65,300,450)))</f>
        <v>450</v>
      </c>
      <c r="R191" s="4" t="n">
        <f aca="false">IF(MIN(AM191+IF(ISNUMBER(AN191),AN191,0),16000)&gt;=600,(MIN(AM191+IF(ISNUMBER(AN191),AN191,0),16000)-600)^0.8/10000*MIN(AM191+IF(ISNUMBER(AN191),AN191,0),16000),0)</f>
        <v>0</v>
      </c>
      <c r="S191" s="4" t="n">
        <f aca="false">IF(AB191=0,0,IF(AB191=1,30,IF(AB191=2,60,IF(AB191=3,120,IF(AB191=4,180,240)))))</f>
        <v>0</v>
      </c>
      <c r="T191" s="4" t="n">
        <f aca="false">IF(Y191&gt;0,Y191*600/MAX(1,Z191),0)</f>
        <v>0</v>
      </c>
      <c r="U191" s="4" t="n">
        <f aca="false">IF(AW191&gt;0,AW191*1000000*MAX(0,MIN(22,1+LOG10(AW191)))/100/12,0)</f>
        <v>0</v>
      </c>
      <c r="AA191" s="4" t="n">
        <f aca="true">IF(K191="W",IFERROR(IF(AND(AC191&gt;0,(TODAY()-AC191)&lt;36*365.25/12),2400/((TODAY()-AC191)/30.44/6+1),0),0)+IFERROR(IF(AND(AD191&gt;0,(TODAY()-AD191)&lt;36*365.25/12),2400/((TODAY()-AD191)/30.44/6+1),0),0)+IFERROR(IF(AND(AE191&gt;0,(TODAY()-AE191)&lt;36*365.25/12),2400/((TODAY()-AE191)/30.44/6+1),0),0)+IFERROR(IF(AND(AF191&gt;0,(TODAY()-AF191)&lt;36*365.25/12),2400/((TODAY()-AF191)/30.44/6+1),0),0)+IFERROR(IF(AND(AG191&gt;0,(TODAY()-AG191)&lt;36*365.25/12),2400/((TODAY()-AG191)/30.44/6+1),0),0),0)</f>
        <v>0</v>
      </c>
      <c r="AB191" s="4" t="n">
        <f aca="false">COUNTA(AC191:AG191)</f>
        <v>0</v>
      </c>
      <c r="AY191" s="1" t="n">
        <v>191</v>
      </c>
    </row>
    <row r="192" customFormat="false" ht="15" hidden="false" customHeight="true" outlineLevel="0" collapsed="false">
      <c r="B192" s="1" t="n">
        <v>192</v>
      </c>
      <c r="L192" s="4" t="n">
        <f aca="true">YEAR(TODAY())-H192</f>
        <v>2026</v>
      </c>
      <c r="N192" s="4" t="n">
        <f aca="true">O192+IF(AT192=1,480,0)+AA192+IF(K192="M",IF(AH192&gt;0,IF((TODAY()-AH192)/30.44&lt;6,2400,IF((TODAY()-AH192)/30.44&lt;12,1200,0)),0),0)+IF(AP192&gt;0,AP192,0)-R192-T192-S192-U192</f>
        <v>450</v>
      </c>
      <c r="O192" s="4" t="n">
        <f aca="true">IF(X192=1,1200,IF(YEAR(TODAY())-H192&lt;18,0,IF(YEAR(TODAY())-H192&lt;65,300,450)))</f>
        <v>450</v>
      </c>
      <c r="R192" s="4" t="n">
        <f aca="false">IF(MIN(AM192+IF(ISNUMBER(AN192),AN192,0),16000)&gt;=600,(MIN(AM192+IF(ISNUMBER(AN192),AN192,0),16000)-600)^0.8/10000*MIN(AM192+IF(ISNUMBER(AN192),AN192,0),16000),0)</f>
        <v>0</v>
      </c>
      <c r="S192" s="4" t="n">
        <f aca="false">IF(AB192=0,0,IF(AB192=1,30,IF(AB192=2,60,IF(AB192=3,120,IF(AB192=4,180,240)))))</f>
        <v>0</v>
      </c>
      <c r="T192" s="4" t="n">
        <f aca="false">IF(Y192&gt;0,Y192*600/MAX(1,Z192),0)</f>
        <v>0</v>
      </c>
      <c r="U192" s="4" t="n">
        <f aca="false">IF(AW192&gt;0,AW192*1000000*MAX(0,MIN(22,1+LOG10(AW192)))/100/12,0)</f>
        <v>0</v>
      </c>
      <c r="AA192" s="4" t="n">
        <f aca="true">IF(K192="W",IFERROR(IF(AND(AC192&gt;0,(TODAY()-AC192)&lt;36*365.25/12),2400/((TODAY()-AC192)/30.44/6+1),0),0)+IFERROR(IF(AND(AD192&gt;0,(TODAY()-AD192)&lt;36*365.25/12),2400/((TODAY()-AD192)/30.44/6+1),0),0)+IFERROR(IF(AND(AE192&gt;0,(TODAY()-AE192)&lt;36*365.25/12),2400/((TODAY()-AE192)/30.44/6+1),0),0)+IFERROR(IF(AND(AF192&gt;0,(TODAY()-AF192)&lt;36*365.25/12),2400/((TODAY()-AF192)/30.44/6+1),0),0)+IFERROR(IF(AND(AG192&gt;0,(TODAY()-AG192)&lt;36*365.25/12),2400/((TODAY()-AG192)/30.44/6+1),0),0),0)</f>
        <v>0</v>
      </c>
      <c r="AB192" s="4" t="n">
        <f aca="false">COUNTA(AC192:AG192)</f>
        <v>0</v>
      </c>
      <c r="AY192" s="1" t="n">
        <v>192</v>
      </c>
    </row>
    <row r="193" customFormat="false" ht="15" hidden="false" customHeight="true" outlineLevel="0" collapsed="false">
      <c r="B193" s="1" t="n">
        <v>193</v>
      </c>
      <c r="L193" s="4" t="n">
        <f aca="true">YEAR(TODAY())-H193</f>
        <v>2026</v>
      </c>
      <c r="N193" s="4" t="n">
        <f aca="true">O193+IF(AT193=1,480,0)+AA193+IF(K193="M",IF(AH193&gt;0,IF((TODAY()-AH193)/30.44&lt;6,2400,IF((TODAY()-AH193)/30.44&lt;12,1200,0)),0),0)+IF(AP193&gt;0,AP193,0)-R193-T193-S193-U193</f>
        <v>450</v>
      </c>
      <c r="O193" s="4" t="n">
        <f aca="true">IF(X193=1,1200,IF(YEAR(TODAY())-H193&lt;18,0,IF(YEAR(TODAY())-H193&lt;65,300,450)))</f>
        <v>450</v>
      </c>
      <c r="R193" s="4" t="n">
        <f aca="false">IF(MIN(AM193+IF(ISNUMBER(AN193),AN193,0),16000)&gt;=600,(MIN(AM193+IF(ISNUMBER(AN193),AN193,0),16000)-600)^0.8/10000*MIN(AM193+IF(ISNUMBER(AN193),AN193,0),16000),0)</f>
        <v>0</v>
      </c>
      <c r="S193" s="4" t="n">
        <f aca="false">IF(AB193=0,0,IF(AB193=1,30,IF(AB193=2,60,IF(AB193=3,120,IF(AB193=4,180,240)))))</f>
        <v>0</v>
      </c>
      <c r="T193" s="4" t="n">
        <f aca="false">IF(Y193&gt;0,Y193*600/MAX(1,Z193),0)</f>
        <v>0</v>
      </c>
      <c r="U193" s="4" t="n">
        <f aca="false">IF(AW193&gt;0,AW193*1000000*MAX(0,MIN(22,1+LOG10(AW193)))/100/12,0)</f>
        <v>0</v>
      </c>
      <c r="AA193" s="4" t="n">
        <f aca="true">IF(K193="W",IFERROR(IF(AND(AC193&gt;0,(TODAY()-AC193)&lt;36*365.25/12),2400/((TODAY()-AC193)/30.44/6+1),0),0)+IFERROR(IF(AND(AD193&gt;0,(TODAY()-AD193)&lt;36*365.25/12),2400/((TODAY()-AD193)/30.44/6+1),0),0)+IFERROR(IF(AND(AE193&gt;0,(TODAY()-AE193)&lt;36*365.25/12),2400/((TODAY()-AE193)/30.44/6+1),0),0)+IFERROR(IF(AND(AF193&gt;0,(TODAY()-AF193)&lt;36*365.25/12),2400/((TODAY()-AF193)/30.44/6+1),0),0)+IFERROR(IF(AND(AG193&gt;0,(TODAY()-AG193)&lt;36*365.25/12),2400/((TODAY()-AG193)/30.44/6+1),0),0),0)</f>
        <v>0</v>
      </c>
      <c r="AB193" s="4" t="n">
        <f aca="false">COUNTA(AC193:AG193)</f>
        <v>0</v>
      </c>
      <c r="AY193" s="1" t="n">
        <v>193</v>
      </c>
    </row>
    <row r="194" customFormat="false" ht="15" hidden="false" customHeight="true" outlineLevel="0" collapsed="false">
      <c r="B194" s="1" t="n">
        <v>194</v>
      </c>
      <c r="L194" s="4" t="n">
        <f aca="true">YEAR(TODAY())-H194</f>
        <v>2026</v>
      </c>
      <c r="N194" s="4" t="n">
        <f aca="true">O194+IF(AT194=1,480,0)+AA194+IF(K194="M",IF(AH194&gt;0,IF((TODAY()-AH194)/30.44&lt;6,2400,IF((TODAY()-AH194)/30.44&lt;12,1200,0)),0),0)+IF(AP194&gt;0,AP194,0)-R194-T194-S194-U194</f>
        <v>450</v>
      </c>
      <c r="O194" s="4" t="n">
        <f aca="true">IF(X194=1,1200,IF(YEAR(TODAY())-H194&lt;18,0,IF(YEAR(TODAY())-H194&lt;65,300,450)))</f>
        <v>450</v>
      </c>
      <c r="R194" s="4" t="n">
        <f aca="false">IF(MIN(AM194+IF(ISNUMBER(AN194),AN194,0),16000)&gt;=600,(MIN(AM194+IF(ISNUMBER(AN194),AN194,0),16000)-600)^0.8/10000*MIN(AM194+IF(ISNUMBER(AN194),AN194,0),16000),0)</f>
        <v>0</v>
      </c>
      <c r="S194" s="4" t="n">
        <f aca="false">IF(AB194=0,0,IF(AB194=1,30,IF(AB194=2,60,IF(AB194=3,120,IF(AB194=4,180,240)))))</f>
        <v>0</v>
      </c>
      <c r="T194" s="4" t="n">
        <f aca="false">IF(Y194&gt;0,Y194*600/MAX(1,Z194),0)</f>
        <v>0</v>
      </c>
      <c r="U194" s="4" t="n">
        <f aca="false">IF(AW194&gt;0,AW194*1000000*MAX(0,MIN(22,1+LOG10(AW194)))/100/12,0)</f>
        <v>0</v>
      </c>
      <c r="AA194" s="4" t="n">
        <f aca="true">IF(K194="W",IFERROR(IF(AND(AC194&gt;0,(TODAY()-AC194)&lt;36*365.25/12),2400/((TODAY()-AC194)/30.44/6+1),0),0)+IFERROR(IF(AND(AD194&gt;0,(TODAY()-AD194)&lt;36*365.25/12),2400/((TODAY()-AD194)/30.44/6+1),0),0)+IFERROR(IF(AND(AE194&gt;0,(TODAY()-AE194)&lt;36*365.25/12),2400/((TODAY()-AE194)/30.44/6+1),0),0)+IFERROR(IF(AND(AF194&gt;0,(TODAY()-AF194)&lt;36*365.25/12),2400/((TODAY()-AF194)/30.44/6+1),0),0)+IFERROR(IF(AND(AG194&gt;0,(TODAY()-AG194)&lt;36*365.25/12),2400/((TODAY()-AG194)/30.44/6+1),0),0),0)</f>
        <v>0</v>
      </c>
      <c r="AB194" s="4" t="n">
        <f aca="false">COUNTA(AC194:AG194)</f>
        <v>0</v>
      </c>
      <c r="AY194" s="1" t="n">
        <v>194</v>
      </c>
    </row>
    <row r="195" customFormat="false" ht="15" hidden="false" customHeight="true" outlineLevel="0" collapsed="false">
      <c r="B195" s="1" t="n">
        <v>195</v>
      </c>
      <c r="L195" s="4" t="n">
        <f aca="true">YEAR(TODAY())-H195</f>
        <v>2026</v>
      </c>
      <c r="N195" s="4" t="n">
        <f aca="true">O195+IF(AT195=1,480,0)+AA195+IF(K195="M",IF(AH195&gt;0,IF((TODAY()-AH195)/30.44&lt;6,2400,IF((TODAY()-AH195)/30.44&lt;12,1200,0)),0),0)+IF(AP195&gt;0,AP195,0)-R195-T195-S195-U195</f>
        <v>450</v>
      </c>
      <c r="O195" s="4" t="n">
        <f aca="true">IF(X195=1,1200,IF(YEAR(TODAY())-H195&lt;18,0,IF(YEAR(TODAY())-H195&lt;65,300,450)))</f>
        <v>450</v>
      </c>
      <c r="R195" s="4" t="n">
        <f aca="false">IF(MIN(AM195+IF(ISNUMBER(AN195),AN195,0),16000)&gt;=600,(MIN(AM195+IF(ISNUMBER(AN195),AN195,0),16000)-600)^0.8/10000*MIN(AM195+IF(ISNUMBER(AN195),AN195,0),16000),0)</f>
        <v>0</v>
      </c>
      <c r="S195" s="4" t="n">
        <f aca="false">IF(AB195=0,0,IF(AB195=1,30,IF(AB195=2,60,IF(AB195=3,120,IF(AB195=4,180,240)))))</f>
        <v>0</v>
      </c>
      <c r="T195" s="4" t="n">
        <f aca="false">IF(Y195&gt;0,Y195*600/MAX(1,Z195),0)</f>
        <v>0</v>
      </c>
      <c r="U195" s="4" t="n">
        <f aca="false">IF(AW195&gt;0,AW195*1000000*MAX(0,MIN(22,1+LOG10(AW195)))/100/12,0)</f>
        <v>0</v>
      </c>
      <c r="AA195" s="4" t="n">
        <f aca="true">IF(K195="W",IFERROR(IF(AND(AC195&gt;0,(TODAY()-AC195)&lt;36*365.25/12),2400/((TODAY()-AC195)/30.44/6+1),0),0)+IFERROR(IF(AND(AD195&gt;0,(TODAY()-AD195)&lt;36*365.25/12),2400/((TODAY()-AD195)/30.44/6+1),0),0)+IFERROR(IF(AND(AE195&gt;0,(TODAY()-AE195)&lt;36*365.25/12),2400/((TODAY()-AE195)/30.44/6+1),0),0)+IFERROR(IF(AND(AF195&gt;0,(TODAY()-AF195)&lt;36*365.25/12),2400/((TODAY()-AF195)/30.44/6+1),0),0)+IFERROR(IF(AND(AG195&gt;0,(TODAY()-AG195)&lt;36*365.25/12),2400/((TODAY()-AG195)/30.44/6+1),0),0),0)</f>
        <v>0</v>
      </c>
      <c r="AB195" s="4" t="n">
        <f aca="false">COUNTA(AC195:AG195)</f>
        <v>0</v>
      </c>
      <c r="AY195" s="1" t="n">
        <v>195</v>
      </c>
    </row>
    <row r="196" customFormat="false" ht="15" hidden="false" customHeight="true" outlineLevel="0" collapsed="false">
      <c r="B196" s="1" t="n">
        <v>196</v>
      </c>
      <c r="L196" s="4" t="n">
        <f aca="true">YEAR(TODAY())-H196</f>
        <v>2026</v>
      </c>
      <c r="N196" s="4" t="n">
        <f aca="true">O196+IF(AT196=1,480,0)+AA196+IF(K196="M",IF(AH196&gt;0,IF((TODAY()-AH196)/30.44&lt;6,2400,IF((TODAY()-AH196)/30.44&lt;12,1200,0)),0),0)+IF(AP196&gt;0,AP196,0)-R196-T196-S196-U196</f>
        <v>450</v>
      </c>
      <c r="O196" s="4" t="n">
        <f aca="true">IF(X196=1,1200,IF(YEAR(TODAY())-H196&lt;18,0,IF(YEAR(TODAY())-H196&lt;65,300,450)))</f>
        <v>450</v>
      </c>
      <c r="R196" s="4" t="n">
        <f aca="false">IF(MIN(AM196+IF(ISNUMBER(AN196),AN196,0),16000)&gt;=600,(MIN(AM196+IF(ISNUMBER(AN196),AN196,0),16000)-600)^0.8/10000*MIN(AM196+IF(ISNUMBER(AN196),AN196,0),16000),0)</f>
        <v>0</v>
      </c>
      <c r="S196" s="4" t="n">
        <f aca="false">IF(AB196=0,0,IF(AB196=1,30,IF(AB196=2,60,IF(AB196=3,120,IF(AB196=4,180,240)))))</f>
        <v>0</v>
      </c>
      <c r="T196" s="4" t="n">
        <f aca="false">IF(Y196&gt;0,Y196*600/MAX(1,Z196),0)</f>
        <v>0</v>
      </c>
      <c r="U196" s="4" t="n">
        <f aca="false">IF(AW196&gt;0,AW196*1000000*MAX(0,MIN(22,1+LOG10(AW196)))/100/12,0)</f>
        <v>0</v>
      </c>
      <c r="AA196" s="4" t="n">
        <f aca="true">IF(K196="W",IFERROR(IF(AND(AC196&gt;0,(TODAY()-AC196)&lt;36*365.25/12),2400/((TODAY()-AC196)/30.44/6+1),0),0)+IFERROR(IF(AND(AD196&gt;0,(TODAY()-AD196)&lt;36*365.25/12),2400/((TODAY()-AD196)/30.44/6+1),0),0)+IFERROR(IF(AND(AE196&gt;0,(TODAY()-AE196)&lt;36*365.25/12),2400/((TODAY()-AE196)/30.44/6+1),0),0)+IFERROR(IF(AND(AF196&gt;0,(TODAY()-AF196)&lt;36*365.25/12),2400/((TODAY()-AF196)/30.44/6+1),0),0)+IFERROR(IF(AND(AG196&gt;0,(TODAY()-AG196)&lt;36*365.25/12),2400/((TODAY()-AG196)/30.44/6+1),0),0),0)</f>
        <v>0</v>
      </c>
      <c r="AB196" s="4" t="n">
        <f aca="false">COUNTA(AC196:AG196)</f>
        <v>0</v>
      </c>
      <c r="AY196" s="1" t="n">
        <v>196</v>
      </c>
    </row>
    <row r="197" customFormat="false" ht="15" hidden="false" customHeight="true" outlineLevel="0" collapsed="false">
      <c r="B197" s="1" t="n">
        <v>197</v>
      </c>
      <c r="L197" s="4" t="n">
        <f aca="true">YEAR(TODAY())-H197</f>
        <v>2026</v>
      </c>
      <c r="N197" s="4" t="n">
        <f aca="true">O197+IF(AT197=1,480,0)+AA197+IF(K197="M",IF(AH197&gt;0,IF((TODAY()-AH197)/30.44&lt;6,2400,IF((TODAY()-AH197)/30.44&lt;12,1200,0)),0),0)+IF(AP197&gt;0,AP197,0)-R197-T197-S197-U197</f>
        <v>450</v>
      </c>
      <c r="O197" s="4" t="n">
        <f aca="true">IF(X197=1,1200,IF(YEAR(TODAY())-H197&lt;18,0,IF(YEAR(TODAY())-H197&lt;65,300,450)))</f>
        <v>450</v>
      </c>
      <c r="R197" s="4" t="n">
        <f aca="false">IF(MIN(AM197+IF(ISNUMBER(AN197),AN197,0),16000)&gt;=600,(MIN(AM197+IF(ISNUMBER(AN197),AN197,0),16000)-600)^0.8/10000*MIN(AM197+IF(ISNUMBER(AN197),AN197,0),16000),0)</f>
        <v>0</v>
      </c>
      <c r="S197" s="4" t="n">
        <f aca="false">IF(AB197=0,0,IF(AB197=1,30,IF(AB197=2,60,IF(AB197=3,120,IF(AB197=4,180,240)))))</f>
        <v>0</v>
      </c>
      <c r="T197" s="4" t="n">
        <f aca="false">IF(Y197&gt;0,Y197*600/MAX(1,Z197),0)</f>
        <v>0</v>
      </c>
      <c r="U197" s="4" t="n">
        <f aca="false">IF(AW197&gt;0,AW197*1000000*MAX(0,MIN(22,1+LOG10(AW197)))/100/12,0)</f>
        <v>0</v>
      </c>
      <c r="AA197" s="4" t="n">
        <f aca="true">IF(K197="W",IFERROR(IF(AND(AC197&gt;0,(TODAY()-AC197)&lt;36*365.25/12),2400/((TODAY()-AC197)/30.44/6+1),0),0)+IFERROR(IF(AND(AD197&gt;0,(TODAY()-AD197)&lt;36*365.25/12),2400/((TODAY()-AD197)/30.44/6+1),0),0)+IFERROR(IF(AND(AE197&gt;0,(TODAY()-AE197)&lt;36*365.25/12),2400/((TODAY()-AE197)/30.44/6+1),0),0)+IFERROR(IF(AND(AF197&gt;0,(TODAY()-AF197)&lt;36*365.25/12),2400/((TODAY()-AF197)/30.44/6+1),0),0)+IFERROR(IF(AND(AG197&gt;0,(TODAY()-AG197)&lt;36*365.25/12),2400/((TODAY()-AG197)/30.44/6+1),0),0),0)</f>
        <v>0</v>
      </c>
      <c r="AB197" s="4" t="n">
        <f aca="false">COUNTA(AC197:AG197)</f>
        <v>0</v>
      </c>
      <c r="AY197" s="1" t="n">
        <v>197</v>
      </c>
    </row>
    <row r="198" customFormat="false" ht="15" hidden="false" customHeight="true" outlineLevel="0" collapsed="false">
      <c r="B198" s="1" t="n">
        <v>198</v>
      </c>
      <c r="L198" s="4" t="n">
        <f aca="true">YEAR(TODAY())-H198</f>
        <v>2026</v>
      </c>
      <c r="N198" s="4" t="n">
        <f aca="true">O198+IF(AT198=1,480,0)+AA198+IF(K198="M",IF(AH198&gt;0,IF((TODAY()-AH198)/30.44&lt;6,2400,IF((TODAY()-AH198)/30.44&lt;12,1200,0)),0),0)+IF(AP198&gt;0,AP198,0)-R198-T198-S198-U198</f>
        <v>450</v>
      </c>
      <c r="O198" s="4" t="n">
        <f aca="true">IF(X198=1,1200,IF(YEAR(TODAY())-H198&lt;18,0,IF(YEAR(TODAY())-H198&lt;65,300,450)))</f>
        <v>450</v>
      </c>
      <c r="R198" s="4" t="n">
        <f aca="false">IF(MIN(AM198+IF(ISNUMBER(AN198),AN198,0),16000)&gt;=600,(MIN(AM198+IF(ISNUMBER(AN198),AN198,0),16000)-600)^0.8/10000*MIN(AM198+IF(ISNUMBER(AN198),AN198,0),16000),0)</f>
        <v>0</v>
      </c>
      <c r="S198" s="4" t="n">
        <f aca="false">IF(AB198=0,0,IF(AB198=1,30,IF(AB198=2,60,IF(AB198=3,120,IF(AB198=4,180,240)))))</f>
        <v>0</v>
      </c>
      <c r="T198" s="4" t="n">
        <f aca="false">IF(Y198&gt;0,Y198*600/MAX(1,Z198),0)</f>
        <v>0</v>
      </c>
      <c r="U198" s="4" t="n">
        <f aca="false">IF(AW198&gt;0,AW198*1000000*MAX(0,MIN(22,1+LOG10(AW198)))/100/12,0)</f>
        <v>0</v>
      </c>
      <c r="AA198" s="4" t="n">
        <f aca="true">IF(K198="W",IFERROR(IF(AND(AC198&gt;0,(TODAY()-AC198)&lt;36*365.25/12),2400/((TODAY()-AC198)/30.44/6+1),0),0)+IFERROR(IF(AND(AD198&gt;0,(TODAY()-AD198)&lt;36*365.25/12),2400/((TODAY()-AD198)/30.44/6+1),0),0)+IFERROR(IF(AND(AE198&gt;0,(TODAY()-AE198)&lt;36*365.25/12),2400/((TODAY()-AE198)/30.44/6+1),0),0)+IFERROR(IF(AND(AF198&gt;0,(TODAY()-AF198)&lt;36*365.25/12),2400/((TODAY()-AF198)/30.44/6+1),0),0)+IFERROR(IF(AND(AG198&gt;0,(TODAY()-AG198)&lt;36*365.25/12),2400/((TODAY()-AG198)/30.44/6+1),0),0),0)</f>
        <v>0</v>
      </c>
      <c r="AB198" s="4" t="n">
        <f aca="false">COUNTA(AC198:AG198)</f>
        <v>0</v>
      </c>
      <c r="AY198" s="1" t="n">
        <v>198</v>
      </c>
    </row>
    <row r="199" customFormat="false" ht="15" hidden="false" customHeight="true" outlineLevel="0" collapsed="false">
      <c r="B199" s="1" t="n">
        <v>199</v>
      </c>
      <c r="L199" s="4" t="n">
        <f aca="true">YEAR(TODAY())-H199</f>
        <v>2026</v>
      </c>
      <c r="N199" s="4" t="n">
        <f aca="true">O199+IF(AT199=1,480,0)+AA199+IF(K199="M",IF(AH199&gt;0,IF((TODAY()-AH199)/30.44&lt;6,2400,IF((TODAY()-AH199)/30.44&lt;12,1200,0)),0),0)+IF(AP199&gt;0,AP199,0)-R199-T199-S199-U199</f>
        <v>450</v>
      </c>
      <c r="O199" s="4" t="n">
        <f aca="true">IF(X199=1,1200,IF(YEAR(TODAY())-H199&lt;18,0,IF(YEAR(TODAY())-H199&lt;65,300,450)))</f>
        <v>450</v>
      </c>
      <c r="R199" s="4" t="n">
        <f aca="false">IF(MIN(AM199+IF(ISNUMBER(AN199),AN199,0),16000)&gt;=600,(MIN(AM199+IF(ISNUMBER(AN199),AN199,0),16000)-600)^0.8/10000*MIN(AM199+IF(ISNUMBER(AN199),AN199,0),16000),0)</f>
        <v>0</v>
      </c>
      <c r="S199" s="4" t="n">
        <f aca="false">IF(AB199=0,0,IF(AB199=1,30,IF(AB199=2,60,IF(AB199=3,120,IF(AB199=4,180,240)))))</f>
        <v>0</v>
      </c>
      <c r="T199" s="4" t="n">
        <f aca="false">IF(Y199&gt;0,Y199*600/MAX(1,Z199),0)</f>
        <v>0</v>
      </c>
      <c r="U199" s="4" t="n">
        <f aca="false">IF(AW199&gt;0,AW199*1000000*MAX(0,MIN(22,1+LOG10(AW199)))/100/12,0)</f>
        <v>0</v>
      </c>
      <c r="AA199" s="4" t="n">
        <f aca="true">IF(K199="W",IFERROR(IF(AND(AC199&gt;0,(TODAY()-AC199)&lt;36*365.25/12),2400/((TODAY()-AC199)/30.44/6+1),0),0)+IFERROR(IF(AND(AD199&gt;0,(TODAY()-AD199)&lt;36*365.25/12),2400/((TODAY()-AD199)/30.44/6+1),0),0)+IFERROR(IF(AND(AE199&gt;0,(TODAY()-AE199)&lt;36*365.25/12),2400/((TODAY()-AE199)/30.44/6+1),0),0)+IFERROR(IF(AND(AF199&gt;0,(TODAY()-AF199)&lt;36*365.25/12),2400/((TODAY()-AF199)/30.44/6+1),0),0)+IFERROR(IF(AND(AG199&gt;0,(TODAY()-AG199)&lt;36*365.25/12),2400/((TODAY()-AG199)/30.44/6+1),0),0),0)</f>
        <v>0</v>
      </c>
      <c r="AB199" s="4" t="n">
        <f aca="false">COUNTA(AC199:AG199)</f>
        <v>0</v>
      </c>
      <c r="AY199" s="1" t="n">
        <v>199</v>
      </c>
    </row>
    <row r="200" customFormat="false" ht="15" hidden="false" customHeight="true" outlineLevel="0" collapsed="false">
      <c r="B200" s="1" t="s">
        <v>1</v>
      </c>
      <c r="E200" s="1" t="s">
        <v>4</v>
      </c>
      <c r="F200" s="1" t="s">
        <v>5</v>
      </c>
      <c r="G200" s="1" t="s">
        <v>6</v>
      </c>
      <c r="H200" s="1" t="s">
        <v>7</v>
      </c>
      <c r="I200" s="1" t="s">
        <v>8</v>
      </c>
      <c r="J200" s="1" t="s">
        <v>9</v>
      </c>
      <c r="K200" s="1" t="s">
        <v>10</v>
      </c>
      <c r="L200" s="1" t="s">
        <v>11</v>
      </c>
      <c r="M200" s="1" t="s">
        <v>12</v>
      </c>
      <c r="N200" s="1" t="s">
        <v>13</v>
      </c>
      <c r="O200" s="1" t="s">
        <v>14</v>
      </c>
      <c r="P200" s="1" t="s">
        <v>15</v>
      </c>
      <c r="Q200" s="1" t="s">
        <v>16</v>
      </c>
      <c r="R200" s="1" t="s">
        <v>17</v>
      </c>
      <c r="S200" s="1" t="s">
        <v>18</v>
      </c>
      <c r="T200" s="1" t="s">
        <v>19</v>
      </c>
      <c r="U200" s="1" t="s">
        <v>20</v>
      </c>
      <c r="V200" s="1" t="s">
        <v>21</v>
      </c>
      <c r="W200" s="1" t="s">
        <v>22</v>
      </c>
      <c r="X200" s="1" t="s">
        <v>23</v>
      </c>
      <c r="Y200" s="1" t="s">
        <v>19</v>
      </c>
      <c r="Z200" s="1" t="s">
        <v>24</v>
      </c>
      <c r="AA200" s="1" t="s">
        <v>25</v>
      </c>
      <c r="AB200" s="1" t="s">
        <v>26</v>
      </c>
      <c r="AC200" s="1" t="s">
        <v>27</v>
      </c>
      <c r="AD200" s="1" t="s">
        <v>28</v>
      </c>
      <c r="AE200" s="1" t="s">
        <v>29</v>
      </c>
      <c r="AF200" s="1" t="s">
        <v>30</v>
      </c>
      <c r="AG200" s="1" t="s">
        <v>31</v>
      </c>
      <c r="AH200" s="1" t="s">
        <v>32</v>
      </c>
      <c r="AI200" s="1" t="s">
        <v>33</v>
      </c>
      <c r="AJ200" s="1" t="s">
        <v>34</v>
      </c>
      <c r="AK200" s="1" t="s">
        <v>35</v>
      </c>
      <c r="AL200" s="1" t="s">
        <v>17</v>
      </c>
      <c r="AM200" s="1" t="s">
        <v>36</v>
      </c>
      <c r="AN200" s="1" t="s">
        <v>37</v>
      </c>
      <c r="AO200" s="1" t="s">
        <v>38</v>
      </c>
      <c r="AS200" s="1" t="s">
        <v>41</v>
      </c>
      <c r="AT200" s="1" t="s">
        <v>42</v>
      </c>
      <c r="AU200" s="1" t="s">
        <v>43</v>
      </c>
      <c r="AV200" s="1" t="s">
        <v>44</v>
      </c>
      <c r="AW200" s="1" t="s">
        <v>45</v>
      </c>
      <c r="AX200" s="1" t="s">
        <v>46</v>
      </c>
      <c r="AY200" s="1" t="s">
        <v>1</v>
      </c>
      <c r="AZ200" s="1" t="s">
        <v>12</v>
      </c>
    </row>
    <row r="201" customFormat="false" ht="15" hidden="false" customHeight="true" outlineLevel="0" collapsed="false">
      <c r="B201" s="1" t="n">
        <v>201</v>
      </c>
      <c r="L201" s="4" t="n">
        <f aca="true">YEAR(TODAY())-H201</f>
        <v>2026</v>
      </c>
      <c r="N201" s="4" t="n">
        <f aca="true">O201+IF(AT201=1,480,0)+AA201+IF(K201="M",IF(AH201&gt;0,IF((TODAY()-AH201)/30.44&lt;6,2400,IF((TODAY()-AH201)/30.44&lt;12,1200,0)),0),0)+IF(AP201&gt;0,AP201,0)-R201-T201-S201-U201</f>
        <v>450</v>
      </c>
      <c r="O201" s="4" t="n">
        <f aca="true">IF(X201=1,1200,IF(YEAR(TODAY())-H201&lt;18,0,IF(YEAR(TODAY())-H201&lt;65,300,450)))</f>
        <v>450</v>
      </c>
      <c r="R201" s="4" t="n">
        <f aca="false">IF(MIN(AM201+IF(ISNUMBER(AN201),AN201,0),16000)&gt;=600,(MIN(AM201+IF(ISNUMBER(AN201),AN201,0),16000)-600)^0.8/10000*MIN(AM201+IF(ISNUMBER(AN201),AN201,0),16000),0)</f>
        <v>0</v>
      </c>
      <c r="S201" s="4" t="n">
        <f aca="false">IF(AB201=0,0,IF(AB201=1,30,IF(AB201=2,60,IF(AB201=3,120,IF(AB201=4,180,240)))))</f>
        <v>0</v>
      </c>
      <c r="T201" s="4" t="n">
        <f aca="false">IF(Y201&gt;0,Y201*600/MAX(1,Z201),0)</f>
        <v>0</v>
      </c>
      <c r="U201" s="4" t="n">
        <f aca="false">IF(AW201&gt;0,AW201*1000000*MAX(0,MIN(22,1+LOG10(AW201)))/100/12,0)</f>
        <v>0</v>
      </c>
      <c r="AA201" s="4" t="n">
        <f aca="true">IF(K201="W",IFERROR(IF(AND(AC201&gt;0,(TODAY()-AC201)&lt;36*365.25/12),2400/((TODAY()-AC201)/30.44/6+1),0),0)+IFERROR(IF(AND(AD201&gt;0,(TODAY()-AD201)&lt;36*365.25/12),2400/((TODAY()-AD201)/30.44/6+1),0),0)+IFERROR(IF(AND(AE201&gt;0,(TODAY()-AE201)&lt;36*365.25/12),2400/((TODAY()-AE201)/30.44/6+1),0),0)+IFERROR(IF(AND(AF201&gt;0,(TODAY()-AF201)&lt;36*365.25/12),2400/((TODAY()-AF201)/30.44/6+1),0),0)+IFERROR(IF(AND(AG201&gt;0,(TODAY()-AG201)&lt;36*365.25/12),2400/((TODAY()-AG201)/30.44/6+1),0),0),0)</f>
        <v>0</v>
      </c>
      <c r="AB201" s="4" t="n">
        <f aca="false">COUNTA(AC201:AG201)</f>
        <v>0</v>
      </c>
      <c r="AY201" s="1" t="n">
        <v>201</v>
      </c>
    </row>
    <row r="202" customFormat="false" ht="15" hidden="false" customHeight="true" outlineLevel="0" collapsed="false">
      <c r="B202" s="1" t="n">
        <v>202</v>
      </c>
      <c r="L202" s="4" t="n">
        <f aca="true">YEAR(TODAY())-H202</f>
        <v>2026</v>
      </c>
      <c r="N202" s="4" t="n">
        <f aca="true">O202+IF(AT202=1,480,0)+AA202+IF(K202="M",IF(AH202&gt;0,IF((TODAY()-AH202)/30.44&lt;6,2400,IF((TODAY()-AH202)/30.44&lt;12,1200,0)),0),0)+IF(AP202&gt;0,AP202,0)-R202-T202-S202-U202</f>
        <v>450</v>
      </c>
      <c r="O202" s="4" t="n">
        <f aca="true">IF(X202=1,1200,IF(YEAR(TODAY())-H202&lt;18,0,IF(YEAR(TODAY())-H202&lt;65,300,450)))</f>
        <v>450</v>
      </c>
      <c r="R202" s="4" t="n">
        <f aca="false">IF(MIN(AM202+IF(ISNUMBER(AN202),AN202,0),16000)&gt;=600,(MIN(AM202+IF(ISNUMBER(AN202),AN202,0),16000)-600)^0.8/10000*MIN(AM202+IF(ISNUMBER(AN202),AN202,0),16000),0)</f>
        <v>0</v>
      </c>
      <c r="S202" s="4" t="n">
        <f aca="false">IF(AB202=0,0,IF(AB202=1,30,IF(AB202=2,60,IF(AB202=3,120,IF(AB202=4,180,240)))))</f>
        <v>0</v>
      </c>
      <c r="T202" s="4" t="n">
        <f aca="false">IF(Y202&gt;0,Y202*600/MAX(1,Z202),0)</f>
        <v>0</v>
      </c>
      <c r="U202" s="4" t="n">
        <f aca="false">IF(AW202&gt;0,AW202*1000000*MAX(0,MIN(22,1+LOG10(AW202)))/100/12,0)</f>
        <v>0</v>
      </c>
      <c r="AA202" s="4" t="n">
        <f aca="true">IF(K202="W",IFERROR(IF(AND(AC202&gt;0,(TODAY()-AC202)&lt;36*365.25/12),2400/((TODAY()-AC202)/30.44/6+1),0),0)+IFERROR(IF(AND(AD202&gt;0,(TODAY()-AD202)&lt;36*365.25/12),2400/((TODAY()-AD202)/30.44/6+1),0),0)+IFERROR(IF(AND(AE202&gt;0,(TODAY()-AE202)&lt;36*365.25/12),2400/((TODAY()-AE202)/30.44/6+1),0),0)+IFERROR(IF(AND(AF202&gt;0,(TODAY()-AF202)&lt;36*365.25/12),2400/((TODAY()-AF202)/30.44/6+1),0),0)+IFERROR(IF(AND(AG202&gt;0,(TODAY()-AG202)&lt;36*365.25/12),2400/((TODAY()-AG202)/30.44/6+1),0),0),0)</f>
        <v>0</v>
      </c>
      <c r="AB202" s="4" t="n">
        <f aca="false">COUNTA(AC202:AG202)</f>
        <v>0</v>
      </c>
      <c r="AY202" s="1" t="n">
        <v>202</v>
      </c>
    </row>
    <row r="203" customFormat="false" ht="15" hidden="false" customHeight="true" outlineLevel="0" collapsed="false">
      <c r="B203" s="1" t="n">
        <v>203</v>
      </c>
      <c r="L203" s="4" t="n">
        <f aca="true">YEAR(TODAY())-H203</f>
        <v>2026</v>
      </c>
      <c r="N203" s="4" t="n">
        <f aca="true">O203+IF(AT203=1,480,0)+AA203+IF(K203="M",IF(AH203&gt;0,IF((TODAY()-AH203)/30.44&lt;6,2400,IF((TODAY()-AH203)/30.44&lt;12,1200,0)),0),0)+IF(AP203&gt;0,AP203,0)-R203-T203-S203-U203</f>
        <v>450</v>
      </c>
      <c r="O203" s="4" t="n">
        <f aca="true">IF(X203=1,1200,IF(YEAR(TODAY())-H203&lt;18,0,IF(YEAR(TODAY())-H203&lt;65,300,450)))</f>
        <v>450</v>
      </c>
      <c r="R203" s="4" t="n">
        <f aca="false">IF(MIN(AM203+IF(ISNUMBER(AN203),AN203,0),16000)&gt;=600,(MIN(AM203+IF(ISNUMBER(AN203),AN203,0),16000)-600)^0.8/10000*MIN(AM203+IF(ISNUMBER(AN203),AN203,0),16000),0)</f>
        <v>0</v>
      </c>
      <c r="S203" s="4" t="n">
        <f aca="false">IF(AB203=0,0,IF(AB203=1,30,IF(AB203=2,60,IF(AB203=3,120,IF(AB203=4,180,240)))))</f>
        <v>0</v>
      </c>
      <c r="T203" s="4" t="n">
        <f aca="false">IF(Y203&gt;0,Y203*600/MAX(1,Z203),0)</f>
        <v>0</v>
      </c>
      <c r="U203" s="4" t="n">
        <f aca="false">IF(AW203&gt;0,AW203*1000000*MAX(0,MIN(22,1+LOG10(AW203)))/100/12,0)</f>
        <v>0</v>
      </c>
      <c r="AA203" s="4" t="n">
        <f aca="true">IF(K203="W",IFERROR(IF(AND(AC203&gt;0,(TODAY()-AC203)&lt;36*365.25/12),2400/((TODAY()-AC203)/30.44/6+1),0),0)+IFERROR(IF(AND(AD203&gt;0,(TODAY()-AD203)&lt;36*365.25/12),2400/((TODAY()-AD203)/30.44/6+1),0),0)+IFERROR(IF(AND(AE203&gt;0,(TODAY()-AE203)&lt;36*365.25/12),2400/((TODAY()-AE203)/30.44/6+1),0),0)+IFERROR(IF(AND(AF203&gt;0,(TODAY()-AF203)&lt;36*365.25/12),2400/((TODAY()-AF203)/30.44/6+1),0),0)+IFERROR(IF(AND(AG203&gt;0,(TODAY()-AG203)&lt;36*365.25/12),2400/((TODAY()-AG203)/30.44/6+1),0),0),0)</f>
        <v>0</v>
      </c>
      <c r="AB203" s="4" t="n">
        <f aca="false">COUNTA(AC203:AG203)</f>
        <v>0</v>
      </c>
      <c r="AY203" s="1" t="n">
        <v>203</v>
      </c>
    </row>
    <row r="204" customFormat="false" ht="15" hidden="false" customHeight="true" outlineLevel="0" collapsed="false">
      <c r="B204" s="1" t="n">
        <v>204</v>
      </c>
      <c r="L204" s="4" t="n">
        <f aca="true">YEAR(TODAY())-H204</f>
        <v>2026</v>
      </c>
      <c r="N204" s="4" t="n">
        <f aca="true">O204+IF(AT204=1,480,0)+AA204+IF(K204="M",IF(AH204&gt;0,IF((TODAY()-AH204)/30.44&lt;6,2400,IF((TODAY()-AH204)/30.44&lt;12,1200,0)),0),0)+IF(AP204&gt;0,AP204,0)-R204-T204-S204-U204</f>
        <v>450</v>
      </c>
      <c r="O204" s="4" t="n">
        <f aca="true">IF(X204=1,1200,IF(YEAR(TODAY())-H204&lt;18,0,IF(YEAR(TODAY())-H204&lt;65,300,450)))</f>
        <v>450</v>
      </c>
      <c r="R204" s="4" t="n">
        <f aca="false">IF(MIN(AM204+IF(ISNUMBER(AN204),AN204,0),16000)&gt;=600,(MIN(AM204+IF(ISNUMBER(AN204),AN204,0),16000)-600)^0.8/10000*MIN(AM204+IF(ISNUMBER(AN204),AN204,0),16000),0)</f>
        <v>0</v>
      </c>
      <c r="S204" s="4" t="n">
        <f aca="false">IF(AB204=0,0,IF(AB204=1,30,IF(AB204=2,60,IF(AB204=3,120,IF(AB204=4,180,240)))))</f>
        <v>0</v>
      </c>
      <c r="T204" s="4" t="n">
        <f aca="false">IF(Y204&gt;0,Y204*600/MAX(1,Z204),0)</f>
        <v>0</v>
      </c>
      <c r="U204" s="4" t="n">
        <f aca="false">IF(AW204&gt;0,AW204*1000000*MAX(0,MIN(22,1+LOG10(AW204)))/100/12,0)</f>
        <v>0</v>
      </c>
      <c r="AA204" s="4" t="n">
        <f aca="true">IF(K204="W",IFERROR(IF(AND(AC204&gt;0,(TODAY()-AC204)&lt;36*365.25/12),2400/((TODAY()-AC204)/30.44/6+1),0),0)+IFERROR(IF(AND(AD204&gt;0,(TODAY()-AD204)&lt;36*365.25/12),2400/((TODAY()-AD204)/30.44/6+1),0),0)+IFERROR(IF(AND(AE204&gt;0,(TODAY()-AE204)&lt;36*365.25/12),2400/((TODAY()-AE204)/30.44/6+1),0),0)+IFERROR(IF(AND(AF204&gt;0,(TODAY()-AF204)&lt;36*365.25/12),2400/((TODAY()-AF204)/30.44/6+1),0),0)+IFERROR(IF(AND(AG204&gt;0,(TODAY()-AG204)&lt;36*365.25/12),2400/((TODAY()-AG204)/30.44/6+1),0),0),0)</f>
        <v>0</v>
      </c>
      <c r="AB204" s="4" t="n">
        <f aca="false">COUNTA(AC204:AG204)</f>
        <v>0</v>
      </c>
      <c r="AY204" s="1" t="n">
        <v>204</v>
      </c>
    </row>
    <row r="205" customFormat="false" ht="15" hidden="false" customHeight="true" outlineLevel="0" collapsed="false">
      <c r="B205" s="1" t="n">
        <v>205</v>
      </c>
      <c r="L205" s="4" t="n">
        <f aca="true">YEAR(TODAY())-H205</f>
        <v>2026</v>
      </c>
      <c r="N205" s="4" t="n">
        <f aca="true">O205+IF(AT205=1,480,0)+AA205+IF(K205="M",IF(AH205&gt;0,IF((TODAY()-AH205)/30.44&lt;6,2400,IF((TODAY()-AH205)/30.44&lt;12,1200,0)),0),0)+IF(AP205&gt;0,AP205,0)-R205-T205-S205-U205</f>
        <v>450</v>
      </c>
      <c r="O205" s="4" t="n">
        <f aca="true">IF(X205=1,1200,IF(YEAR(TODAY())-H205&lt;18,0,IF(YEAR(TODAY())-H205&lt;65,300,450)))</f>
        <v>450</v>
      </c>
      <c r="R205" s="4" t="n">
        <f aca="false">IF(MIN(AM205+IF(ISNUMBER(AN205),AN205,0),16000)&gt;=600,(MIN(AM205+IF(ISNUMBER(AN205),AN205,0),16000)-600)^0.8/10000*MIN(AM205+IF(ISNUMBER(AN205),AN205,0),16000),0)</f>
        <v>0</v>
      </c>
      <c r="S205" s="4" t="n">
        <f aca="false">IF(AB205=0,0,IF(AB205=1,30,IF(AB205=2,60,IF(AB205=3,120,IF(AB205=4,180,240)))))</f>
        <v>0</v>
      </c>
      <c r="T205" s="4" t="n">
        <f aca="false">IF(Y205&gt;0,Y205*600/MAX(1,Z205),0)</f>
        <v>0</v>
      </c>
      <c r="U205" s="4" t="n">
        <f aca="false">IF(AW205&gt;0,AW205*1000000*MAX(0,MIN(22,1+LOG10(AW205)))/100/12,0)</f>
        <v>0</v>
      </c>
      <c r="AA205" s="4" t="n">
        <f aca="true">IF(K205="W",IFERROR(IF(AND(AC205&gt;0,(TODAY()-AC205)&lt;36*365.25/12),2400/((TODAY()-AC205)/30.44/6+1),0),0)+IFERROR(IF(AND(AD205&gt;0,(TODAY()-AD205)&lt;36*365.25/12),2400/((TODAY()-AD205)/30.44/6+1),0),0)+IFERROR(IF(AND(AE205&gt;0,(TODAY()-AE205)&lt;36*365.25/12),2400/((TODAY()-AE205)/30.44/6+1),0),0)+IFERROR(IF(AND(AF205&gt;0,(TODAY()-AF205)&lt;36*365.25/12),2400/((TODAY()-AF205)/30.44/6+1),0),0)+IFERROR(IF(AND(AG205&gt;0,(TODAY()-AG205)&lt;36*365.25/12),2400/((TODAY()-AG205)/30.44/6+1),0),0),0)</f>
        <v>0</v>
      </c>
      <c r="AB205" s="4" t="n">
        <f aca="false">COUNTA(AC205:AG205)</f>
        <v>0</v>
      </c>
      <c r="AY205" s="1" t="n">
        <v>205</v>
      </c>
    </row>
    <row r="206" customFormat="false" ht="15" hidden="false" customHeight="true" outlineLevel="0" collapsed="false">
      <c r="B206" s="1" t="n">
        <v>206</v>
      </c>
      <c r="L206" s="4" t="n">
        <f aca="true">YEAR(TODAY())-H206</f>
        <v>2026</v>
      </c>
      <c r="N206" s="4" t="n">
        <f aca="true">O206+IF(AT206=1,480,0)+AA206+IF(K206="M",IF(AH206&gt;0,IF((TODAY()-AH206)/30.44&lt;6,2400,IF((TODAY()-AH206)/30.44&lt;12,1200,0)),0),0)+IF(AP206&gt;0,AP206,0)-R206-T206-S206-U206</f>
        <v>450</v>
      </c>
      <c r="O206" s="4" t="n">
        <f aca="true">IF(X206=1,1200,IF(YEAR(TODAY())-H206&lt;18,0,IF(YEAR(TODAY())-H206&lt;65,300,450)))</f>
        <v>450</v>
      </c>
      <c r="R206" s="4" t="n">
        <f aca="false">IF(MIN(AM206+IF(ISNUMBER(AN206),AN206,0),16000)&gt;=600,(MIN(AM206+IF(ISNUMBER(AN206),AN206,0),16000)-600)^0.8/10000*MIN(AM206+IF(ISNUMBER(AN206),AN206,0),16000),0)</f>
        <v>0</v>
      </c>
      <c r="S206" s="4" t="n">
        <f aca="false">IF(AB206=0,0,IF(AB206=1,30,IF(AB206=2,60,IF(AB206=3,120,IF(AB206=4,180,240)))))</f>
        <v>0</v>
      </c>
      <c r="T206" s="4" t="n">
        <f aca="false">IF(Y206&gt;0,Y206*600/MAX(1,Z206),0)</f>
        <v>0</v>
      </c>
      <c r="U206" s="4" t="n">
        <f aca="false">IF(AW206&gt;0,AW206*1000000*MAX(0,MIN(22,1+LOG10(AW206)))/100/12,0)</f>
        <v>0</v>
      </c>
      <c r="AA206" s="4" t="n">
        <f aca="true">IF(K206="W",IFERROR(IF(AND(AC206&gt;0,(TODAY()-AC206)&lt;36*365.25/12),2400/((TODAY()-AC206)/30.44/6+1),0),0)+IFERROR(IF(AND(AD206&gt;0,(TODAY()-AD206)&lt;36*365.25/12),2400/((TODAY()-AD206)/30.44/6+1),0),0)+IFERROR(IF(AND(AE206&gt;0,(TODAY()-AE206)&lt;36*365.25/12),2400/((TODAY()-AE206)/30.44/6+1),0),0)+IFERROR(IF(AND(AF206&gt;0,(TODAY()-AF206)&lt;36*365.25/12),2400/((TODAY()-AF206)/30.44/6+1),0),0)+IFERROR(IF(AND(AG206&gt;0,(TODAY()-AG206)&lt;36*365.25/12),2400/((TODAY()-AG206)/30.44/6+1),0),0),0)</f>
        <v>0</v>
      </c>
      <c r="AB206" s="4" t="n">
        <f aca="false">COUNTA(AC206:AG206)</f>
        <v>0</v>
      </c>
      <c r="AY206" s="1" t="n">
        <v>206</v>
      </c>
    </row>
    <row r="207" customFormat="false" ht="15" hidden="false" customHeight="true" outlineLevel="0" collapsed="false">
      <c r="B207" s="1" t="n">
        <v>207</v>
      </c>
      <c r="L207" s="4" t="n">
        <f aca="true">YEAR(TODAY())-H207</f>
        <v>2026</v>
      </c>
      <c r="N207" s="4" t="n">
        <f aca="true">O207+IF(AT207=1,480,0)+AA207+IF(K207="M",IF(AH207&gt;0,IF((TODAY()-AH207)/30.44&lt;6,2400,IF((TODAY()-AH207)/30.44&lt;12,1200,0)),0),0)+IF(AP207&gt;0,AP207,0)-R207-T207-S207-U207</f>
        <v>450</v>
      </c>
      <c r="O207" s="4" t="n">
        <f aca="true">IF(X207=1,1200,IF(YEAR(TODAY())-H207&lt;18,0,IF(YEAR(TODAY())-H207&lt;65,300,450)))</f>
        <v>450</v>
      </c>
      <c r="R207" s="4" t="n">
        <f aca="false">IF(MIN(AM207+IF(ISNUMBER(AN207),AN207,0),16000)&gt;=600,(MIN(AM207+IF(ISNUMBER(AN207),AN207,0),16000)-600)^0.8/10000*MIN(AM207+IF(ISNUMBER(AN207),AN207,0),16000),0)</f>
        <v>0</v>
      </c>
      <c r="S207" s="4" t="n">
        <f aca="false">IF(AB207=0,0,IF(AB207=1,30,IF(AB207=2,60,IF(AB207=3,120,IF(AB207=4,180,240)))))</f>
        <v>0</v>
      </c>
      <c r="T207" s="4" t="n">
        <f aca="false">IF(Y207&gt;0,Y207*600/MAX(1,Z207),0)</f>
        <v>0</v>
      </c>
      <c r="U207" s="4" t="n">
        <f aca="false">IF(AW207&gt;0,AW207*1000000*MAX(0,MIN(22,1+LOG10(AW207)))/100/12,0)</f>
        <v>0</v>
      </c>
      <c r="AA207" s="4" t="n">
        <f aca="true">IF(K207="W",IFERROR(IF(AND(AC207&gt;0,(TODAY()-AC207)&lt;36*365.25/12),2400/((TODAY()-AC207)/30.44/6+1),0),0)+IFERROR(IF(AND(AD207&gt;0,(TODAY()-AD207)&lt;36*365.25/12),2400/((TODAY()-AD207)/30.44/6+1),0),0)+IFERROR(IF(AND(AE207&gt;0,(TODAY()-AE207)&lt;36*365.25/12),2400/((TODAY()-AE207)/30.44/6+1),0),0)+IFERROR(IF(AND(AF207&gt;0,(TODAY()-AF207)&lt;36*365.25/12),2400/((TODAY()-AF207)/30.44/6+1),0),0)+IFERROR(IF(AND(AG207&gt;0,(TODAY()-AG207)&lt;36*365.25/12),2400/((TODAY()-AG207)/30.44/6+1),0),0),0)</f>
        <v>0</v>
      </c>
      <c r="AB207" s="4" t="n">
        <f aca="false">COUNTA(AC207:AG207)</f>
        <v>0</v>
      </c>
      <c r="AY207" s="1" t="n">
        <v>207</v>
      </c>
    </row>
    <row r="208" customFormat="false" ht="15" hidden="false" customHeight="true" outlineLevel="0" collapsed="false">
      <c r="B208" s="1" t="n">
        <v>208</v>
      </c>
      <c r="L208" s="4" t="n">
        <f aca="true">YEAR(TODAY())-H208</f>
        <v>2026</v>
      </c>
      <c r="N208" s="4" t="n">
        <f aca="true">O208+IF(AT208=1,480,0)+AA208+IF(K208="M",IF(AH208&gt;0,IF((TODAY()-AH208)/30.44&lt;6,2400,IF((TODAY()-AH208)/30.44&lt;12,1200,0)),0),0)+IF(AP208&gt;0,AP208,0)-R208-T208-S208-U208</f>
        <v>450</v>
      </c>
      <c r="O208" s="4" t="n">
        <f aca="true">IF(X208=1,1200,IF(YEAR(TODAY())-H208&lt;18,0,IF(YEAR(TODAY())-H208&lt;65,300,450)))</f>
        <v>450</v>
      </c>
      <c r="R208" s="4" t="n">
        <f aca="false">IF(MIN(AM208+IF(ISNUMBER(AN208),AN208,0),16000)&gt;=600,(MIN(AM208+IF(ISNUMBER(AN208),AN208,0),16000)-600)^0.8/10000*MIN(AM208+IF(ISNUMBER(AN208),AN208,0),16000),0)</f>
        <v>0</v>
      </c>
      <c r="S208" s="4" t="n">
        <f aca="false">IF(AB208=0,0,IF(AB208=1,30,IF(AB208=2,60,IF(AB208=3,120,IF(AB208=4,180,240)))))</f>
        <v>0</v>
      </c>
      <c r="T208" s="4" t="n">
        <f aca="false">IF(Y208&gt;0,Y208*600/MAX(1,Z208),0)</f>
        <v>0</v>
      </c>
      <c r="U208" s="4" t="n">
        <f aca="false">IF(AW208&gt;0,AW208*1000000*MAX(0,MIN(22,1+LOG10(AW208)))/100/12,0)</f>
        <v>0</v>
      </c>
      <c r="AA208" s="4" t="n">
        <f aca="true">IF(K208="W",IFERROR(IF(AND(AC208&gt;0,(TODAY()-AC208)&lt;36*365.25/12),2400/((TODAY()-AC208)/30.44/6+1),0),0)+IFERROR(IF(AND(AD208&gt;0,(TODAY()-AD208)&lt;36*365.25/12),2400/((TODAY()-AD208)/30.44/6+1),0),0)+IFERROR(IF(AND(AE208&gt;0,(TODAY()-AE208)&lt;36*365.25/12),2400/((TODAY()-AE208)/30.44/6+1),0),0)+IFERROR(IF(AND(AF208&gt;0,(TODAY()-AF208)&lt;36*365.25/12),2400/((TODAY()-AF208)/30.44/6+1),0),0)+IFERROR(IF(AND(AG208&gt;0,(TODAY()-AG208)&lt;36*365.25/12),2400/((TODAY()-AG208)/30.44/6+1),0),0),0)</f>
        <v>0</v>
      </c>
      <c r="AB208" s="4" t="n">
        <f aca="false">COUNTA(AC208:AG208)</f>
        <v>0</v>
      </c>
      <c r="AY208" s="1" t="n">
        <v>208</v>
      </c>
    </row>
    <row r="209" customFormat="false" ht="15" hidden="false" customHeight="true" outlineLevel="0" collapsed="false">
      <c r="B209" s="1" t="n">
        <v>209</v>
      </c>
      <c r="L209" s="4" t="n">
        <f aca="true">YEAR(TODAY())-H209</f>
        <v>2026</v>
      </c>
      <c r="N209" s="4" t="n">
        <f aca="true">O209+IF(AT209=1,480,0)+AA209+IF(K209="M",IF(AH209&gt;0,IF((TODAY()-AH209)/30.44&lt;6,2400,IF((TODAY()-AH209)/30.44&lt;12,1200,0)),0),0)+IF(AP209&gt;0,AP209,0)-R209-T209-S209-U209</f>
        <v>450</v>
      </c>
      <c r="O209" s="4" t="n">
        <f aca="true">IF(X209=1,1200,IF(YEAR(TODAY())-H209&lt;18,0,IF(YEAR(TODAY())-H209&lt;65,300,450)))</f>
        <v>450</v>
      </c>
      <c r="R209" s="4" t="n">
        <f aca="false">IF(MIN(AM209+IF(ISNUMBER(AN209),AN209,0),16000)&gt;=600,(MIN(AM209+IF(ISNUMBER(AN209),AN209,0),16000)-600)^0.8/10000*MIN(AM209+IF(ISNUMBER(AN209),AN209,0),16000),0)</f>
        <v>0</v>
      </c>
      <c r="S209" s="4" t="n">
        <f aca="false">IF(AB209=0,0,IF(AB209=1,30,IF(AB209=2,60,IF(AB209=3,120,IF(AB209=4,180,240)))))</f>
        <v>0</v>
      </c>
      <c r="T209" s="4" t="n">
        <f aca="false">IF(Y209&gt;0,Y209*600/MAX(1,Z209),0)</f>
        <v>0</v>
      </c>
      <c r="U209" s="4" t="n">
        <f aca="false">IF(AW209&gt;0,AW209*1000000*MAX(0,MIN(22,1+LOG10(AW209)))/100/12,0)</f>
        <v>0</v>
      </c>
      <c r="AA209" s="4" t="n">
        <f aca="true">IF(K209="W",IFERROR(IF(AND(AC209&gt;0,(TODAY()-AC209)&lt;36*365.25/12),2400/((TODAY()-AC209)/30.44/6+1),0),0)+IFERROR(IF(AND(AD209&gt;0,(TODAY()-AD209)&lt;36*365.25/12),2400/((TODAY()-AD209)/30.44/6+1),0),0)+IFERROR(IF(AND(AE209&gt;0,(TODAY()-AE209)&lt;36*365.25/12),2400/((TODAY()-AE209)/30.44/6+1),0),0)+IFERROR(IF(AND(AF209&gt;0,(TODAY()-AF209)&lt;36*365.25/12),2400/((TODAY()-AF209)/30.44/6+1),0),0)+IFERROR(IF(AND(AG209&gt;0,(TODAY()-AG209)&lt;36*365.25/12),2400/((TODAY()-AG209)/30.44/6+1),0),0),0)</f>
        <v>0</v>
      </c>
      <c r="AB209" s="4" t="n">
        <f aca="false">COUNTA(AC209:AG209)</f>
        <v>0</v>
      </c>
      <c r="AY209" s="1" t="n">
        <v>209</v>
      </c>
    </row>
    <row r="210" customFormat="false" ht="15" hidden="false" customHeight="true" outlineLevel="0" collapsed="false">
      <c r="B210" s="1" t="n">
        <v>210</v>
      </c>
      <c r="L210" s="4" t="n">
        <f aca="true">YEAR(TODAY())-H210</f>
        <v>2026</v>
      </c>
      <c r="N210" s="4" t="n">
        <f aca="true">O210+IF(AT210=1,480,0)+AA210+IF(K210="M",IF(AH210&gt;0,IF((TODAY()-AH210)/30.44&lt;6,2400,IF((TODAY()-AH210)/30.44&lt;12,1200,0)),0),0)+IF(AP210&gt;0,AP210,0)-R210-T210-S210-U210</f>
        <v>450</v>
      </c>
      <c r="O210" s="4" t="n">
        <f aca="true">IF(X210=1,1200,IF(YEAR(TODAY())-H210&lt;18,0,IF(YEAR(TODAY())-H210&lt;65,300,450)))</f>
        <v>450</v>
      </c>
      <c r="R210" s="4" t="n">
        <f aca="false">IF(MIN(AM210+IF(ISNUMBER(AN210),AN210,0),16000)&gt;=600,(MIN(AM210+IF(ISNUMBER(AN210),AN210,0),16000)-600)^0.8/10000*MIN(AM210+IF(ISNUMBER(AN210),AN210,0),16000),0)</f>
        <v>0</v>
      </c>
      <c r="S210" s="4" t="n">
        <f aca="false">IF(AB210=0,0,IF(AB210=1,30,IF(AB210=2,60,IF(AB210=3,120,IF(AB210=4,180,240)))))</f>
        <v>0</v>
      </c>
      <c r="T210" s="4" t="n">
        <f aca="false">IF(Y210&gt;0,Y210*600/MAX(1,Z210),0)</f>
        <v>0</v>
      </c>
      <c r="U210" s="4" t="n">
        <f aca="false">IF(AW210&gt;0,AW210*1000000*MAX(0,MIN(22,1+LOG10(AW210)))/100/12,0)</f>
        <v>0</v>
      </c>
      <c r="AA210" s="4" t="n">
        <f aca="true">IF(K210="W",IFERROR(IF(AND(AC210&gt;0,(TODAY()-AC210)&lt;36*365.25/12),2400/((TODAY()-AC210)/30.44/6+1),0),0)+IFERROR(IF(AND(AD210&gt;0,(TODAY()-AD210)&lt;36*365.25/12),2400/((TODAY()-AD210)/30.44/6+1),0),0)+IFERROR(IF(AND(AE210&gt;0,(TODAY()-AE210)&lt;36*365.25/12),2400/((TODAY()-AE210)/30.44/6+1),0),0)+IFERROR(IF(AND(AF210&gt;0,(TODAY()-AF210)&lt;36*365.25/12),2400/((TODAY()-AF210)/30.44/6+1),0),0)+IFERROR(IF(AND(AG210&gt;0,(TODAY()-AG210)&lt;36*365.25/12),2400/((TODAY()-AG210)/30.44/6+1),0),0),0)</f>
        <v>0</v>
      </c>
      <c r="AB210" s="4" t="n">
        <f aca="false">COUNTA(AC210:AG210)</f>
        <v>0</v>
      </c>
      <c r="AY210" s="1" t="n">
        <v>210</v>
      </c>
    </row>
    <row r="211" customFormat="false" ht="15" hidden="false" customHeight="true" outlineLevel="0" collapsed="false">
      <c r="B211" s="1" t="n">
        <v>211</v>
      </c>
      <c r="L211" s="4" t="n">
        <f aca="true">YEAR(TODAY())-H211</f>
        <v>2026</v>
      </c>
      <c r="N211" s="4" t="n">
        <f aca="true">O211+IF(AT211=1,480,0)+AA211+IF(K211="M",IF(AH211&gt;0,IF((TODAY()-AH211)/30.44&lt;6,2400,IF((TODAY()-AH211)/30.44&lt;12,1200,0)),0),0)+IF(AP211&gt;0,AP211,0)-R211-T211-S211-U211</f>
        <v>450</v>
      </c>
      <c r="O211" s="4" t="n">
        <f aca="true">IF(X211=1,1200,IF(YEAR(TODAY())-H211&lt;18,0,IF(YEAR(TODAY())-H211&lt;65,300,450)))</f>
        <v>450</v>
      </c>
      <c r="R211" s="4" t="n">
        <f aca="false">IF(MIN(AM211+IF(ISNUMBER(AN211),AN211,0),16000)&gt;=600,(MIN(AM211+IF(ISNUMBER(AN211),AN211,0),16000)-600)^0.8/10000*MIN(AM211+IF(ISNUMBER(AN211),AN211,0),16000),0)</f>
        <v>0</v>
      </c>
      <c r="S211" s="4" t="n">
        <f aca="false">IF(AB211=0,0,IF(AB211=1,30,IF(AB211=2,60,IF(AB211=3,120,IF(AB211=4,180,240)))))</f>
        <v>0</v>
      </c>
      <c r="T211" s="4" t="n">
        <f aca="false">IF(Y211&gt;0,Y211*600/MAX(1,Z211),0)</f>
        <v>0</v>
      </c>
      <c r="U211" s="4" t="n">
        <f aca="false">IF(AW211&gt;0,AW211*1000000*MAX(0,MIN(22,1+LOG10(AW211)))/100/12,0)</f>
        <v>0</v>
      </c>
      <c r="AA211" s="4" t="n">
        <f aca="true">IF(K211="W",IFERROR(IF(AND(AC211&gt;0,(TODAY()-AC211)&lt;36*365.25/12),2400/((TODAY()-AC211)/30.44/6+1),0),0)+IFERROR(IF(AND(AD211&gt;0,(TODAY()-AD211)&lt;36*365.25/12),2400/((TODAY()-AD211)/30.44/6+1),0),0)+IFERROR(IF(AND(AE211&gt;0,(TODAY()-AE211)&lt;36*365.25/12),2400/((TODAY()-AE211)/30.44/6+1),0),0)+IFERROR(IF(AND(AF211&gt;0,(TODAY()-AF211)&lt;36*365.25/12),2400/((TODAY()-AF211)/30.44/6+1),0),0)+IFERROR(IF(AND(AG211&gt;0,(TODAY()-AG211)&lt;36*365.25/12),2400/((TODAY()-AG211)/30.44/6+1),0),0),0)</f>
        <v>0</v>
      </c>
      <c r="AB211" s="4" t="n">
        <f aca="false">COUNTA(AC211:AG211)</f>
        <v>0</v>
      </c>
      <c r="AY211" s="1" t="n">
        <v>211</v>
      </c>
    </row>
    <row r="212" customFormat="false" ht="15" hidden="false" customHeight="true" outlineLevel="0" collapsed="false">
      <c r="B212" s="1" t="n">
        <v>212</v>
      </c>
      <c r="L212" s="4" t="n">
        <f aca="true">YEAR(TODAY())-H212</f>
        <v>2026</v>
      </c>
      <c r="N212" s="4" t="n">
        <f aca="true">O212+IF(AT212=1,480,0)+AA212+IF(K212="M",IF(AH212&gt;0,IF((TODAY()-AH212)/30.44&lt;6,2400,IF((TODAY()-AH212)/30.44&lt;12,1200,0)),0),0)+IF(AP212&gt;0,AP212,0)-R212-T212-S212-U212</f>
        <v>450</v>
      </c>
      <c r="O212" s="4" t="n">
        <f aca="true">IF(X212=1,1200,IF(YEAR(TODAY())-H212&lt;18,0,IF(YEAR(TODAY())-H212&lt;65,300,450)))</f>
        <v>450</v>
      </c>
      <c r="R212" s="4" t="n">
        <f aca="false">IF(MIN(AM212+IF(ISNUMBER(AN212),AN212,0),16000)&gt;=600,(MIN(AM212+IF(ISNUMBER(AN212),AN212,0),16000)-600)^0.8/10000*MIN(AM212+IF(ISNUMBER(AN212),AN212,0),16000),0)</f>
        <v>0</v>
      </c>
      <c r="S212" s="4" t="n">
        <f aca="false">IF(AB212=0,0,IF(AB212=1,30,IF(AB212=2,60,IF(AB212=3,120,IF(AB212=4,180,240)))))</f>
        <v>0</v>
      </c>
      <c r="T212" s="4" t="n">
        <f aca="false">IF(Y212&gt;0,Y212*600/MAX(1,Z212),0)</f>
        <v>0</v>
      </c>
      <c r="U212" s="4" t="n">
        <f aca="false">IF(AW212&gt;0,AW212*1000000*MAX(0,MIN(22,1+LOG10(AW212)))/100/12,0)</f>
        <v>0</v>
      </c>
      <c r="AA212" s="4" t="n">
        <f aca="true">IF(K212="W",IFERROR(IF(AND(AC212&gt;0,(TODAY()-AC212)&lt;36*365.25/12),2400/((TODAY()-AC212)/30.44/6+1),0),0)+IFERROR(IF(AND(AD212&gt;0,(TODAY()-AD212)&lt;36*365.25/12),2400/((TODAY()-AD212)/30.44/6+1),0),0)+IFERROR(IF(AND(AE212&gt;0,(TODAY()-AE212)&lt;36*365.25/12),2400/((TODAY()-AE212)/30.44/6+1),0),0)+IFERROR(IF(AND(AF212&gt;0,(TODAY()-AF212)&lt;36*365.25/12),2400/((TODAY()-AF212)/30.44/6+1),0),0)+IFERROR(IF(AND(AG212&gt;0,(TODAY()-AG212)&lt;36*365.25/12),2400/((TODAY()-AG212)/30.44/6+1),0),0),0)</f>
        <v>0</v>
      </c>
      <c r="AB212" s="4" t="n">
        <f aca="false">COUNTA(AC212:AG212)</f>
        <v>0</v>
      </c>
      <c r="AY212" s="1" t="n">
        <v>212</v>
      </c>
    </row>
    <row r="213" customFormat="false" ht="15" hidden="false" customHeight="true" outlineLevel="0" collapsed="false">
      <c r="B213" s="1" t="n">
        <v>213</v>
      </c>
      <c r="L213" s="4" t="n">
        <f aca="true">YEAR(TODAY())-H213</f>
        <v>2026</v>
      </c>
      <c r="N213" s="4" t="n">
        <f aca="true">O213+IF(AT213=1,480,0)+AA213+IF(K213="M",IF(AH213&gt;0,IF((TODAY()-AH213)/30.44&lt;6,2400,IF((TODAY()-AH213)/30.44&lt;12,1200,0)),0),0)+IF(AP213&gt;0,AP213,0)-R213-T213-S213-U213</f>
        <v>450</v>
      </c>
      <c r="O213" s="4" t="n">
        <f aca="true">IF(X213=1,1200,IF(YEAR(TODAY())-H213&lt;18,0,IF(YEAR(TODAY())-H213&lt;65,300,450)))</f>
        <v>450</v>
      </c>
      <c r="R213" s="4" t="n">
        <f aca="false">IF(MIN(AM213+IF(ISNUMBER(AN213),AN213,0),16000)&gt;=600,(MIN(AM213+IF(ISNUMBER(AN213),AN213,0),16000)-600)^0.8/10000*MIN(AM213+IF(ISNUMBER(AN213),AN213,0),16000),0)</f>
        <v>0</v>
      </c>
      <c r="S213" s="4" t="n">
        <f aca="false">IF(AB213=0,0,IF(AB213=1,30,IF(AB213=2,60,IF(AB213=3,120,IF(AB213=4,180,240)))))</f>
        <v>0</v>
      </c>
      <c r="T213" s="4" t="n">
        <f aca="false">IF(Y213&gt;0,Y213*600/MAX(1,Z213),0)</f>
        <v>0</v>
      </c>
      <c r="U213" s="4" t="n">
        <f aca="false">IF(AW213&gt;0,AW213*1000000*MAX(0,MIN(22,1+LOG10(AW213)))/100/12,0)</f>
        <v>0</v>
      </c>
      <c r="AA213" s="4" t="n">
        <f aca="true">IF(K213="W",IFERROR(IF(AND(AC213&gt;0,(TODAY()-AC213)&lt;36*365.25/12),2400/((TODAY()-AC213)/30.44/6+1),0),0)+IFERROR(IF(AND(AD213&gt;0,(TODAY()-AD213)&lt;36*365.25/12),2400/((TODAY()-AD213)/30.44/6+1),0),0)+IFERROR(IF(AND(AE213&gt;0,(TODAY()-AE213)&lt;36*365.25/12),2400/((TODAY()-AE213)/30.44/6+1),0),0)+IFERROR(IF(AND(AF213&gt;0,(TODAY()-AF213)&lt;36*365.25/12),2400/((TODAY()-AF213)/30.44/6+1),0),0)+IFERROR(IF(AND(AG213&gt;0,(TODAY()-AG213)&lt;36*365.25/12),2400/((TODAY()-AG213)/30.44/6+1),0),0),0)</f>
        <v>0</v>
      </c>
      <c r="AB213" s="4" t="n">
        <f aca="false">COUNTA(AC213:AG213)</f>
        <v>0</v>
      </c>
      <c r="AY213" s="1" t="n">
        <v>213</v>
      </c>
    </row>
    <row r="214" customFormat="false" ht="15" hidden="false" customHeight="true" outlineLevel="0" collapsed="false">
      <c r="B214" s="1" t="n">
        <v>214</v>
      </c>
      <c r="L214" s="4" t="n">
        <f aca="true">YEAR(TODAY())-H214</f>
        <v>2026</v>
      </c>
      <c r="N214" s="4" t="n">
        <f aca="true">O214+IF(AT214=1,480,0)+AA214+IF(K214="M",IF(AH214&gt;0,IF((TODAY()-AH214)/30.44&lt;6,2400,IF((TODAY()-AH214)/30.44&lt;12,1200,0)),0),0)+IF(AP214&gt;0,AP214,0)-R214-T214-S214-U214</f>
        <v>450</v>
      </c>
      <c r="O214" s="4" t="n">
        <f aca="true">IF(X214=1,1200,IF(YEAR(TODAY())-H214&lt;18,0,IF(YEAR(TODAY())-H214&lt;65,300,450)))</f>
        <v>450</v>
      </c>
      <c r="R214" s="4" t="n">
        <f aca="false">IF(MIN(AM214+IF(ISNUMBER(AN214),AN214,0),16000)&gt;=600,(MIN(AM214+IF(ISNUMBER(AN214),AN214,0),16000)-600)^0.8/10000*MIN(AM214+IF(ISNUMBER(AN214),AN214,0),16000),0)</f>
        <v>0</v>
      </c>
      <c r="S214" s="4" t="n">
        <f aca="false">IF(AB214=0,0,IF(AB214=1,30,IF(AB214=2,60,IF(AB214=3,120,IF(AB214=4,180,240)))))</f>
        <v>0</v>
      </c>
      <c r="T214" s="4" t="n">
        <f aca="false">IF(Y214&gt;0,Y214*600/MAX(1,Z214),0)</f>
        <v>0</v>
      </c>
      <c r="U214" s="4" t="n">
        <f aca="false">IF(AW214&gt;0,AW214*1000000*MAX(0,MIN(22,1+LOG10(AW214)))/100/12,0)</f>
        <v>0</v>
      </c>
      <c r="AA214" s="4" t="n">
        <f aca="true">IF(K214="W",IFERROR(IF(AND(AC214&gt;0,(TODAY()-AC214)&lt;36*365.25/12),2400/((TODAY()-AC214)/30.44/6+1),0),0)+IFERROR(IF(AND(AD214&gt;0,(TODAY()-AD214)&lt;36*365.25/12),2400/((TODAY()-AD214)/30.44/6+1),0),0)+IFERROR(IF(AND(AE214&gt;0,(TODAY()-AE214)&lt;36*365.25/12),2400/((TODAY()-AE214)/30.44/6+1),0),0)+IFERROR(IF(AND(AF214&gt;0,(TODAY()-AF214)&lt;36*365.25/12),2400/((TODAY()-AF214)/30.44/6+1),0),0)+IFERROR(IF(AND(AG214&gt;0,(TODAY()-AG214)&lt;36*365.25/12),2400/((TODAY()-AG214)/30.44/6+1),0),0),0)</f>
        <v>0</v>
      </c>
      <c r="AB214" s="4" t="n">
        <f aca="false">COUNTA(AC214:AG214)</f>
        <v>0</v>
      </c>
      <c r="AY214" s="1" t="n">
        <v>214</v>
      </c>
    </row>
    <row r="215" customFormat="false" ht="15" hidden="false" customHeight="true" outlineLevel="0" collapsed="false">
      <c r="B215" s="1" t="n">
        <v>215</v>
      </c>
      <c r="L215" s="4" t="n">
        <f aca="true">YEAR(TODAY())-H215</f>
        <v>2026</v>
      </c>
      <c r="N215" s="4" t="n">
        <f aca="true">O215+IF(AT215=1,480,0)+AA215+IF(K215="M",IF(AH215&gt;0,IF((TODAY()-AH215)/30.44&lt;6,2400,IF((TODAY()-AH215)/30.44&lt;12,1200,0)),0),0)+IF(AP215&gt;0,AP215,0)-R215-T215-S215-U215</f>
        <v>450</v>
      </c>
      <c r="O215" s="4" t="n">
        <f aca="true">IF(X215=1,1200,IF(YEAR(TODAY())-H215&lt;18,0,IF(YEAR(TODAY())-H215&lt;65,300,450)))</f>
        <v>450</v>
      </c>
      <c r="R215" s="4" t="n">
        <f aca="false">IF(MIN(AM215+IF(ISNUMBER(AN215),AN215,0),16000)&gt;=600,(MIN(AM215+IF(ISNUMBER(AN215),AN215,0),16000)-600)^0.8/10000*MIN(AM215+IF(ISNUMBER(AN215),AN215,0),16000),0)</f>
        <v>0</v>
      </c>
      <c r="S215" s="4" t="n">
        <f aca="false">IF(AB215=0,0,IF(AB215=1,30,IF(AB215=2,60,IF(AB215=3,120,IF(AB215=4,180,240)))))</f>
        <v>0</v>
      </c>
      <c r="T215" s="4" t="n">
        <f aca="false">IF(Y215&gt;0,Y215*600/MAX(1,Z215),0)</f>
        <v>0</v>
      </c>
      <c r="U215" s="4" t="n">
        <f aca="false">IF(AW215&gt;0,AW215*1000000*MAX(0,MIN(22,1+LOG10(AW215)))/100/12,0)</f>
        <v>0</v>
      </c>
      <c r="AA215" s="4" t="n">
        <f aca="true">IF(K215="W",IFERROR(IF(AND(AC215&gt;0,(TODAY()-AC215)&lt;36*365.25/12),2400/((TODAY()-AC215)/30.44/6+1),0),0)+IFERROR(IF(AND(AD215&gt;0,(TODAY()-AD215)&lt;36*365.25/12),2400/((TODAY()-AD215)/30.44/6+1),0),0)+IFERROR(IF(AND(AE215&gt;0,(TODAY()-AE215)&lt;36*365.25/12),2400/((TODAY()-AE215)/30.44/6+1),0),0)+IFERROR(IF(AND(AF215&gt;0,(TODAY()-AF215)&lt;36*365.25/12),2400/((TODAY()-AF215)/30.44/6+1),0),0)+IFERROR(IF(AND(AG215&gt;0,(TODAY()-AG215)&lt;36*365.25/12),2400/((TODAY()-AG215)/30.44/6+1),0),0),0)</f>
        <v>0</v>
      </c>
      <c r="AB215" s="4" t="n">
        <f aca="false">COUNTA(AC215:AG215)</f>
        <v>0</v>
      </c>
      <c r="AY215" s="1" t="n">
        <v>215</v>
      </c>
    </row>
    <row r="216" customFormat="false" ht="15" hidden="false" customHeight="true" outlineLevel="0" collapsed="false">
      <c r="B216" s="1" t="n">
        <v>216</v>
      </c>
      <c r="L216" s="4" t="n">
        <f aca="true">YEAR(TODAY())-H216</f>
        <v>2026</v>
      </c>
      <c r="N216" s="4" t="n">
        <f aca="true">O216+IF(AT216=1,480,0)+AA216+IF(K216="M",IF(AH216&gt;0,IF((TODAY()-AH216)/30.44&lt;6,2400,IF((TODAY()-AH216)/30.44&lt;12,1200,0)),0),0)+IF(AP216&gt;0,AP216,0)-R216-T216-S216-U216</f>
        <v>450</v>
      </c>
      <c r="O216" s="4" t="n">
        <f aca="true">IF(X216=1,1200,IF(YEAR(TODAY())-H216&lt;18,0,IF(YEAR(TODAY())-H216&lt;65,300,450)))</f>
        <v>450</v>
      </c>
      <c r="R216" s="4" t="n">
        <f aca="false">IF(MIN(AM216+IF(ISNUMBER(AN216),AN216,0),16000)&gt;=600,(MIN(AM216+IF(ISNUMBER(AN216),AN216,0),16000)-600)^0.8/10000*MIN(AM216+IF(ISNUMBER(AN216),AN216,0),16000),0)</f>
        <v>0</v>
      </c>
      <c r="S216" s="4" t="n">
        <f aca="false">IF(AB216=0,0,IF(AB216=1,30,IF(AB216=2,60,IF(AB216=3,120,IF(AB216=4,180,240)))))</f>
        <v>0</v>
      </c>
      <c r="T216" s="4" t="n">
        <f aca="false">IF(Y216&gt;0,Y216*600/MAX(1,Z216),0)</f>
        <v>0</v>
      </c>
      <c r="U216" s="4" t="n">
        <f aca="false">IF(AW216&gt;0,AW216*1000000*MAX(0,MIN(22,1+LOG10(AW216)))/100/12,0)</f>
        <v>0</v>
      </c>
      <c r="AA216" s="4" t="n">
        <f aca="true">IF(K216="W",IFERROR(IF(AND(AC216&gt;0,(TODAY()-AC216)&lt;36*365.25/12),2400/((TODAY()-AC216)/30.44/6+1),0),0)+IFERROR(IF(AND(AD216&gt;0,(TODAY()-AD216)&lt;36*365.25/12),2400/((TODAY()-AD216)/30.44/6+1),0),0)+IFERROR(IF(AND(AE216&gt;0,(TODAY()-AE216)&lt;36*365.25/12),2400/((TODAY()-AE216)/30.44/6+1),0),0)+IFERROR(IF(AND(AF216&gt;0,(TODAY()-AF216)&lt;36*365.25/12),2400/((TODAY()-AF216)/30.44/6+1),0),0)+IFERROR(IF(AND(AG216&gt;0,(TODAY()-AG216)&lt;36*365.25/12),2400/((TODAY()-AG216)/30.44/6+1),0),0),0)</f>
        <v>0</v>
      </c>
      <c r="AB216" s="4" t="n">
        <f aca="false">COUNTA(AC216:AG216)</f>
        <v>0</v>
      </c>
      <c r="AY216" s="1" t="n">
        <v>216</v>
      </c>
    </row>
    <row r="217" customFormat="false" ht="15" hidden="false" customHeight="true" outlineLevel="0" collapsed="false">
      <c r="B217" s="1" t="n">
        <v>217</v>
      </c>
      <c r="L217" s="4" t="n">
        <f aca="true">YEAR(TODAY())-H217</f>
        <v>2026</v>
      </c>
      <c r="N217" s="4" t="n">
        <f aca="true">O217+IF(AT217=1,480,0)+AA217+IF(K217="M",IF(AH217&gt;0,IF((TODAY()-AH217)/30.44&lt;6,2400,IF((TODAY()-AH217)/30.44&lt;12,1200,0)),0),0)+IF(AP217&gt;0,AP217,0)-R217-T217-S217-U217</f>
        <v>450</v>
      </c>
      <c r="O217" s="4" t="n">
        <f aca="true">IF(X217=1,1200,IF(YEAR(TODAY())-H217&lt;18,0,IF(YEAR(TODAY())-H217&lt;65,300,450)))</f>
        <v>450</v>
      </c>
      <c r="R217" s="4" t="n">
        <f aca="false">IF(MIN(AM217+IF(ISNUMBER(AN217),AN217,0),16000)&gt;=600,(MIN(AM217+IF(ISNUMBER(AN217),AN217,0),16000)-600)^0.8/10000*MIN(AM217+IF(ISNUMBER(AN217),AN217,0),16000),0)</f>
        <v>0</v>
      </c>
      <c r="S217" s="4" t="n">
        <f aca="false">IF(AB217=0,0,IF(AB217=1,30,IF(AB217=2,60,IF(AB217=3,120,IF(AB217=4,180,240)))))</f>
        <v>0</v>
      </c>
      <c r="T217" s="4" t="n">
        <f aca="false">IF(Y217&gt;0,Y217*600/MAX(1,Z217),0)</f>
        <v>0</v>
      </c>
      <c r="U217" s="4" t="n">
        <f aca="false">IF(AW217&gt;0,AW217*1000000*MAX(0,MIN(22,1+LOG10(AW217)))/100/12,0)</f>
        <v>0</v>
      </c>
      <c r="AA217" s="4" t="n">
        <f aca="true">IF(K217="W",IFERROR(IF(AND(AC217&gt;0,(TODAY()-AC217)&lt;36*365.25/12),2400/((TODAY()-AC217)/30.44/6+1),0),0)+IFERROR(IF(AND(AD217&gt;0,(TODAY()-AD217)&lt;36*365.25/12),2400/((TODAY()-AD217)/30.44/6+1),0),0)+IFERROR(IF(AND(AE217&gt;0,(TODAY()-AE217)&lt;36*365.25/12),2400/((TODAY()-AE217)/30.44/6+1),0),0)+IFERROR(IF(AND(AF217&gt;0,(TODAY()-AF217)&lt;36*365.25/12),2400/((TODAY()-AF217)/30.44/6+1),0),0)+IFERROR(IF(AND(AG217&gt;0,(TODAY()-AG217)&lt;36*365.25/12),2400/((TODAY()-AG217)/30.44/6+1),0),0),0)</f>
        <v>0</v>
      </c>
      <c r="AB217" s="4" t="n">
        <f aca="false">COUNTA(AC217:AG217)</f>
        <v>0</v>
      </c>
      <c r="AY217" s="1" t="n">
        <v>217</v>
      </c>
    </row>
    <row r="218" customFormat="false" ht="15" hidden="false" customHeight="true" outlineLevel="0" collapsed="false">
      <c r="B218" s="1" t="n">
        <v>218</v>
      </c>
      <c r="L218" s="4" t="n">
        <f aca="true">YEAR(TODAY())-H218</f>
        <v>2026</v>
      </c>
      <c r="N218" s="4" t="n">
        <f aca="true">O218+IF(AT218=1,480,0)+AA218+IF(K218="M",IF(AH218&gt;0,IF((TODAY()-AH218)/30.44&lt;6,2400,IF((TODAY()-AH218)/30.44&lt;12,1200,0)),0),0)+IF(AP218&gt;0,AP218,0)-R218-T218-S218-U218</f>
        <v>450</v>
      </c>
      <c r="O218" s="4" t="n">
        <f aca="true">IF(X218=1,1200,IF(YEAR(TODAY())-H218&lt;18,0,IF(YEAR(TODAY())-H218&lt;65,300,450)))</f>
        <v>450</v>
      </c>
      <c r="R218" s="4" t="n">
        <f aca="false">IF(MIN(AM218+IF(ISNUMBER(AN218),AN218,0),16000)&gt;=600,(MIN(AM218+IF(ISNUMBER(AN218),AN218,0),16000)-600)^0.8/10000*MIN(AM218+IF(ISNUMBER(AN218),AN218,0),16000),0)</f>
        <v>0</v>
      </c>
      <c r="S218" s="4" t="n">
        <f aca="false">IF(AB218=0,0,IF(AB218=1,30,IF(AB218=2,60,IF(AB218=3,120,IF(AB218=4,180,240)))))</f>
        <v>0</v>
      </c>
      <c r="T218" s="4" t="n">
        <f aca="false">IF(Y218&gt;0,Y218*600/MAX(1,Z218),0)</f>
        <v>0</v>
      </c>
      <c r="U218" s="4" t="n">
        <f aca="false">IF(AW218&gt;0,AW218*1000000*MAX(0,MIN(22,1+LOG10(AW218)))/100/12,0)</f>
        <v>0</v>
      </c>
      <c r="AA218" s="4" t="n">
        <f aca="true">IF(K218="W",IFERROR(IF(AND(AC218&gt;0,(TODAY()-AC218)&lt;36*365.25/12),2400/((TODAY()-AC218)/30.44/6+1),0),0)+IFERROR(IF(AND(AD218&gt;0,(TODAY()-AD218)&lt;36*365.25/12),2400/((TODAY()-AD218)/30.44/6+1),0),0)+IFERROR(IF(AND(AE218&gt;0,(TODAY()-AE218)&lt;36*365.25/12),2400/((TODAY()-AE218)/30.44/6+1),0),0)+IFERROR(IF(AND(AF218&gt;0,(TODAY()-AF218)&lt;36*365.25/12),2400/((TODAY()-AF218)/30.44/6+1),0),0)+IFERROR(IF(AND(AG218&gt;0,(TODAY()-AG218)&lt;36*365.25/12),2400/((TODAY()-AG218)/30.44/6+1),0),0),0)</f>
        <v>0</v>
      </c>
      <c r="AB218" s="4" t="n">
        <f aca="false">COUNTA(AC218:AG218)</f>
        <v>0</v>
      </c>
      <c r="AY218" s="1" t="n">
        <v>218</v>
      </c>
    </row>
    <row r="219" customFormat="false" ht="15" hidden="false" customHeight="true" outlineLevel="0" collapsed="false">
      <c r="B219" s="1" t="n">
        <v>219</v>
      </c>
      <c r="L219" s="4" t="n">
        <f aca="true">YEAR(TODAY())-H219</f>
        <v>2026</v>
      </c>
      <c r="N219" s="4" t="n">
        <f aca="true">O219+IF(AT219=1,480,0)+AA219+IF(K219="M",IF(AH219&gt;0,IF((TODAY()-AH219)/30.44&lt;6,2400,IF((TODAY()-AH219)/30.44&lt;12,1200,0)),0),0)+IF(AP219&gt;0,AP219,0)-R219-T219-S219-U219</f>
        <v>450</v>
      </c>
      <c r="O219" s="4" t="n">
        <f aca="true">IF(X219=1,1200,IF(YEAR(TODAY())-H219&lt;18,0,IF(YEAR(TODAY())-H219&lt;65,300,450)))</f>
        <v>450</v>
      </c>
      <c r="R219" s="4" t="n">
        <f aca="false">IF(MIN(AM219+IF(ISNUMBER(AN219),AN219,0),16000)&gt;=600,(MIN(AM219+IF(ISNUMBER(AN219),AN219,0),16000)-600)^0.8/10000*MIN(AM219+IF(ISNUMBER(AN219),AN219,0),16000),0)</f>
        <v>0</v>
      </c>
      <c r="S219" s="4" t="n">
        <f aca="false">IF(AB219=0,0,IF(AB219=1,30,IF(AB219=2,60,IF(AB219=3,120,IF(AB219=4,180,240)))))</f>
        <v>0</v>
      </c>
      <c r="T219" s="4" t="n">
        <f aca="false">IF(Y219&gt;0,Y219*600/MAX(1,Z219),0)</f>
        <v>0</v>
      </c>
      <c r="U219" s="4" t="n">
        <f aca="false">IF(AW219&gt;0,AW219*1000000*MAX(0,MIN(22,1+LOG10(AW219)))/100/12,0)</f>
        <v>0</v>
      </c>
      <c r="AA219" s="4" t="n">
        <f aca="true">IF(K219="W",IFERROR(IF(AND(AC219&gt;0,(TODAY()-AC219)&lt;36*365.25/12),2400/((TODAY()-AC219)/30.44/6+1),0),0)+IFERROR(IF(AND(AD219&gt;0,(TODAY()-AD219)&lt;36*365.25/12),2400/((TODAY()-AD219)/30.44/6+1),0),0)+IFERROR(IF(AND(AE219&gt;0,(TODAY()-AE219)&lt;36*365.25/12),2400/((TODAY()-AE219)/30.44/6+1),0),0)+IFERROR(IF(AND(AF219&gt;0,(TODAY()-AF219)&lt;36*365.25/12),2400/((TODAY()-AF219)/30.44/6+1),0),0)+IFERROR(IF(AND(AG219&gt;0,(TODAY()-AG219)&lt;36*365.25/12),2400/((TODAY()-AG219)/30.44/6+1),0),0),0)</f>
        <v>0</v>
      </c>
      <c r="AB219" s="4" t="n">
        <f aca="false">COUNTA(AC219:AG219)</f>
        <v>0</v>
      </c>
      <c r="AY219" s="1" t="n">
        <v>219</v>
      </c>
    </row>
    <row r="220" customFormat="false" ht="15" hidden="false" customHeight="true" outlineLevel="0" collapsed="false">
      <c r="B220" s="1" t="n">
        <v>220</v>
      </c>
      <c r="L220" s="4" t="n">
        <f aca="true">YEAR(TODAY())-H220</f>
        <v>2026</v>
      </c>
      <c r="N220" s="4" t="n">
        <f aca="true">O220+IF(AT220=1,480,0)+AA220+IF(K220="M",IF(AH220&gt;0,IF((TODAY()-AH220)/30.44&lt;6,2400,IF((TODAY()-AH220)/30.44&lt;12,1200,0)),0),0)+IF(AP220&gt;0,AP220,0)-R220-T220-S220-U220</f>
        <v>450</v>
      </c>
      <c r="O220" s="4" t="n">
        <f aca="true">IF(X220=1,1200,IF(YEAR(TODAY())-H220&lt;18,0,IF(YEAR(TODAY())-H220&lt;65,300,450)))</f>
        <v>450</v>
      </c>
      <c r="R220" s="4" t="n">
        <f aca="false">IF(MIN(AM220+IF(ISNUMBER(AN220),AN220,0),16000)&gt;=600,(MIN(AM220+IF(ISNUMBER(AN220),AN220,0),16000)-600)^0.8/10000*MIN(AM220+IF(ISNUMBER(AN220),AN220,0),16000),0)</f>
        <v>0</v>
      </c>
      <c r="S220" s="4" t="n">
        <f aca="false">IF(AB220=0,0,IF(AB220=1,30,IF(AB220=2,60,IF(AB220=3,120,IF(AB220=4,180,240)))))</f>
        <v>0</v>
      </c>
      <c r="T220" s="4" t="n">
        <f aca="false">IF(Y220&gt;0,Y220*600/MAX(1,Z220),0)</f>
        <v>0</v>
      </c>
      <c r="U220" s="4" t="n">
        <f aca="false">IF(AW220&gt;0,AW220*1000000*MAX(0,MIN(22,1+LOG10(AW220)))/100/12,0)</f>
        <v>0</v>
      </c>
      <c r="AA220" s="4" t="n">
        <f aca="true">IF(K220="W",IFERROR(IF(AND(AC220&gt;0,(TODAY()-AC220)&lt;36*365.25/12),2400/((TODAY()-AC220)/30.44/6+1),0),0)+IFERROR(IF(AND(AD220&gt;0,(TODAY()-AD220)&lt;36*365.25/12),2400/((TODAY()-AD220)/30.44/6+1),0),0)+IFERROR(IF(AND(AE220&gt;0,(TODAY()-AE220)&lt;36*365.25/12),2400/((TODAY()-AE220)/30.44/6+1),0),0)+IFERROR(IF(AND(AF220&gt;0,(TODAY()-AF220)&lt;36*365.25/12),2400/((TODAY()-AF220)/30.44/6+1),0),0)+IFERROR(IF(AND(AG220&gt;0,(TODAY()-AG220)&lt;36*365.25/12),2400/((TODAY()-AG220)/30.44/6+1),0),0),0)</f>
        <v>0</v>
      </c>
      <c r="AB220" s="4" t="n">
        <f aca="false">COUNTA(AC220:AG220)</f>
        <v>0</v>
      </c>
      <c r="AY220" s="1" t="n">
        <v>220</v>
      </c>
    </row>
    <row r="221" customFormat="false" ht="15" hidden="false" customHeight="true" outlineLevel="0" collapsed="false">
      <c r="B221" s="1" t="n">
        <v>221</v>
      </c>
      <c r="L221" s="4" t="n">
        <f aca="true">YEAR(TODAY())-H221</f>
        <v>2026</v>
      </c>
      <c r="N221" s="4" t="n">
        <f aca="true">O221+IF(AT221=1,480,0)+AA221+IF(K221="M",IF(AH221&gt;0,IF((TODAY()-AH221)/30.44&lt;6,2400,IF((TODAY()-AH221)/30.44&lt;12,1200,0)),0),0)+IF(AP221&gt;0,AP221,0)-R221-T221-S221-U221</f>
        <v>450</v>
      </c>
      <c r="O221" s="4" t="n">
        <f aca="true">IF(X221=1,1200,IF(YEAR(TODAY())-H221&lt;18,0,IF(YEAR(TODAY())-H221&lt;65,300,450)))</f>
        <v>450</v>
      </c>
      <c r="R221" s="4" t="n">
        <f aca="false">IF(MIN(AM221+IF(ISNUMBER(AN221),AN221,0),16000)&gt;=600,(MIN(AM221+IF(ISNUMBER(AN221),AN221,0),16000)-600)^0.8/10000*MIN(AM221+IF(ISNUMBER(AN221),AN221,0),16000),0)</f>
        <v>0</v>
      </c>
      <c r="S221" s="4" t="n">
        <f aca="false">IF(AB221=0,0,IF(AB221=1,30,IF(AB221=2,60,IF(AB221=3,120,IF(AB221=4,180,240)))))</f>
        <v>0</v>
      </c>
      <c r="T221" s="4" t="n">
        <f aca="false">IF(Y221&gt;0,Y221*600/MAX(1,Z221),0)</f>
        <v>0</v>
      </c>
      <c r="U221" s="4" t="n">
        <f aca="false">IF(AW221&gt;0,AW221*1000000*MAX(0,MIN(22,1+LOG10(AW221)))/100/12,0)</f>
        <v>0</v>
      </c>
      <c r="AA221" s="4" t="n">
        <f aca="true">IF(K221="W",IFERROR(IF(AND(AC221&gt;0,(TODAY()-AC221)&lt;36*365.25/12),2400/((TODAY()-AC221)/30.44/6+1),0),0)+IFERROR(IF(AND(AD221&gt;0,(TODAY()-AD221)&lt;36*365.25/12),2400/((TODAY()-AD221)/30.44/6+1),0),0)+IFERROR(IF(AND(AE221&gt;0,(TODAY()-AE221)&lt;36*365.25/12),2400/((TODAY()-AE221)/30.44/6+1),0),0)+IFERROR(IF(AND(AF221&gt;0,(TODAY()-AF221)&lt;36*365.25/12),2400/((TODAY()-AF221)/30.44/6+1),0),0)+IFERROR(IF(AND(AG221&gt;0,(TODAY()-AG221)&lt;36*365.25/12),2400/((TODAY()-AG221)/30.44/6+1),0),0),0)</f>
        <v>0</v>
      </c>
      <c r="AB221" s="4" t="n">
        <f aca="false">COUNTA(AC221:AG221)</f>
        <v>0</v>
      </c>
      <c r="AY221" s="1" t="n">
        <v>221</v>
      </c>
    </row>
    <row r="222" customFormat="false" ht="15" hidden="false" customHeight="true" outlineLevel="0" collapsed="false">
      <c r="B222" s="1" t="n">
        <v>222</v>
      </c>
      <c r="L222" s="4" t="n">
        <f aca="true">YEAR(TODAY())-H222</f>
        <v>2026</v>
      </c>
      <c r="N222" s="4" t="n">
        <f aca="true">O222+IF(AT222=1,480,0)+AA222+IF(K222="M",IF(AH222&gt;0,IF((TODAY()-AH222)/30.44&lt;6,2400,IF((TODAY()-AH222)/30.44&lt;12,1200,0)),0),0)+IF(AP222&gt;0,AP222,0)-R222-T222-S222-U222</f>
        <v>450</v>
      </c>
      <c r="O222" s="4" t="n">
        <f aca="true">IF(X222=1,1200,IF(YEAR(TODAY())-H222&lt;18,0,IF(YEAR(TODAY())-H222&lt;65,300,450)))</f>
        <v>450</v>
      </c>
      <c r="R222" s="4" t="n">
        <f aca="false">IF(MIN(AM222+IF(ISNUMBER(AN222),AN222,0),16000)&gt;=600,(MIN(AM222+IF(ISNUMBER(AN222),AN222,0),16000)-600)^0.8/10000*MIN(AM222+IF(ISNUMBER(AN222),AN222,0),16000),0)</f>
        <v>0</v>
      </c>
      <c r="S222" s="4" t="n">
        <f aca="false">IF(AB222=0,0,IF(AB222=1,30,IF(AB222=2,60,IF(AB222=3,120,IF(AB222=4,180,240)))))</f>
        <v>0</v>
      </c>
      <c r="T222" s="4" t="n">
        <f aca="false">IF(Y222&gt;0,Y222*600/MAX(1,Z222),0)</f>
        <v>0</v>
      </c>
      <c r="U222" s="4" t="n">
        <f aca="false">IF(AW222&gt;0,AW222*1000000*MAX(0,MIN(22,1+LOG10(AW222)))/100/12,0)</f>
        <v>0</v>
      </c>
      <c r="AA222" s="4" t="n">
        <f aca="true">IF(K222="W",IFERROR(IF(AND(AC222&gt;0,(TODAY()-AC222)&lt;36*365.25/12),2400/((TODAY()-AC222)/30.44/6+1),0),0)+IFERROR(IF(AND(AD222&gt;0,(TODAY()-AD222)&lt;36*365.25/12),2400/((TODAY()-AD222)/30.44/6+1),0),0)+IFERROR(IF(AND(AE222&gt;0,(TODAY()-AE222)&lt;36*365.25/12),2400/((TODAY()-AE222)/30.44/6+1),0),0)+IFERROR(IF(AND(AF222&gt;0,(TODAY()-AF222)&lt;36*365.25/12),2400/((TODAY()-AF222)/30.44/6+1),0),0)+IFERROR(IF(AND(AG222&gt;0,(TODAY()-AG222)&lt;36*365.25/12),2400/((TODAY()-AG222)/30.44/6+1),0),0),0)</f>
        <v>0</v>
      </c>
      <c r="AB222" s="4" t="n">
        <f aca="false">COUNTA(AC222:AG222)</f>
        <v>0</v>
      </c>
      <c r="AY222" s="1" t="n">
        <v>222</v>
      </c>
    </row>
    <row r="223" customFormat="false" ht="15" hidden="false" customHeight="true" outlineLevel="0" collapsed="false">
      <c r="B223" s="1" t="n">
        <v>223</v>
      </c>
      <c r="L223" s="4" t="n">
        <f aca="true">YEAR(TODAY())-H223</f>
        <v>2026</v>
      </c>
      <c r="N223" s="4" t="n">
        <f aca="true">O223+IF(AT223=1,480,0)+AA223+IF(K223="M",IF(AH223&gt;0,IF((TODAY()-AH223)/30.44&lt;6,2400,IF((TODAY()-AH223)/30.44&lt;12,1200,0)),0),0)+IF(AP223&gt;0,AP223,0)-R223-T223-S223-U223</f>
        <v>450</v>
      </c>
      <c r="O223" s="4" t="n">
        <f aca="true">IF(X223=1,1200,IF(YEAR(TODAY())-H223&lt;18,0,IF(YEAR(TODAY())-H223&lt;65,300,450)))</f>
        <v>450</v>
      </c>
      <c r="R223" s="4" t="n">
        <f aca="false">IF(MIN(AM223+IF(ISNUMBER(AN223),AN223,0),16000)&gt;=600,(MIN(AM223+IF(ISNUMBER(AN223),AN223,0),16000)-600)^0.8/10000*MIN(AM223+IF(ISNUMBER(AN223),AN223,0),16000),0)</f>
        <v>0</v>
      </c>
      <c r="S223" s="4" t="n">
        <f aca="false">IF(AB223=0,0,IF(AB223=1,30,IF(AB223=2,60,IF(AB223=3,120,IF(AB223=4,180,240)))))</f>
        <v>0</v>
      </c>
      <c r="T223" s="4" t="n">
        <f aca="false">IF(Y223&gt;0,Y223*600/MAX(1,Z223),0)</f>
        <v>0</v>
      </c>
      <c r="U223" s="4" t="n">
        <f aca="false">IF(AW223&gt;0,AW223*1000000*MAX(0,MIN(22,1+LOG10(AW223)))/100/12,0)</f>
        <v>0</v>
      </c>
      <c r="AA223" s="4" t="n">
        <f aca="true">IF(K223="W",IFERROR(IF(AND(AC223&gt;0,(TODAY()-AC223)&lt;36*365.25/12),2400/((TODAY()-AC223)/30.44/6+1),0),0)+IFERROR(IF(AND(AD223&gt;0,(TODAY()-AD223)&lt;36*365.25/12),2400/((TODAY()-AD223)/30.44/6+1),0),0)+IFERROR(IF(AND(AE223&gt;0,(TODAY()-AE223)&lt;36*365.25/12),2400/((TODAY()-AE223)/30.44/6+1),0),0)+IFERROR(IF(AND(AF223&gt;0,(TODAY()-AF223)&lt;36*365.25/12),2400/((TODAY()-AF223)/30.44/6+1),0),0)+IFERROR(IF(AND(AG223&gt;0,(TODAY()-AG223)&lt;36*365.25/12),2400/((TODAY()-AG223)/30.44/6+1),0),0),0)</f>
        <v>0</v>
      </c>
      <c r="AB223" s="4" t="n">
        <f aca="false">COUNTA(AC223:AG223)</f>
        <v>0</v>
      </c>
      <c r="AY223" s="1" t="n">
        <v>223</v>
      </c>
    </row>
    <row r="224" customFormat="false" ht="15" hidden="false" customHeight="true" outlineLevel="0" collapsed="false">
      <c r="B224" s="1" t="n">
        <v>224</v>
      </c>
      <c r="L224" s="4" t="n">
        <f aca="true">YEAR(TODAY())-H224</f>
        <v>2026</v>
      </c>
      <c r="N224" s="4" t="n">
        <f aca="true">O224+IF(AT224=1,480,0)+AA224+IF(K224="M",IF(AH224&gt;0,IF((TODAY()-AH224)/30.44&lt;6,2400,IF((TODAY()-AH224)/30.44&lt;12,1200,0)),0),0)+IF(AP224&gt;0,AP224,0)-R224-T224-S224-U224</f>
        <v>450</v>
      </c>
      <c r="O224" s="4" t="n">
        <f aca="true">IF(X224=1,1200,IF(YEAR(TODAY())-H224&lt;18,0,IF(YEAR(TODAY())-H224&lt;65,300,450)))</f>
        <v>450</v>
      </c>
      <c r="R224" s="4" t="n">
        <f aca="false">IF(MIN(AM224+IF(ISNUMBER(AN224),AN224,0),16000)&gt;=600,(MIN(AM224+IF(ISNUMBER(AN224),AN224,0),16000)-600)^0.8/10000*MIN(AM224+IF(ISNUMBER(AN224),AN224,0),16000),0)</f>
        <v>0</v>
      </c>
      <c r="S224" s="4" t="n">
        <f aca="false">IF(AB224=0,0,IF(AB224=1,30,IF(AB224=2,60,IF(AB224=3,120,IF(AB224=4,180,240)))))</f>
        <v>0</v>
      </c>
      <c r="T224" s="4" t="n">
        <f aca="false">IF(Y224&gt;0,Y224*600/MAX(1,Z224),0)</f>
        <v>0</v>
      </c>
      <c r="U224" s="4" t="n">
        <f aca="false">IF(AW224&gt;0,AW224*1000000*MAX(0,MIN(22,1+LOG10(AW224)))/100/12,0)</f>
        <v>0</v>
      </c>
      <c r="AA224" s="4" t="n">
        <f aca="true">IF(K224="W",IFERROR(IF(AND(AC224&gt;0,(TODAY()-AC224)&lt;36*365.25/12),2400/((TODAY()-AC224)/30.44/6+1),0),0)+IFERROR(IF(AND(AD224&gt;0,(TODAY()-AD224)&lt;36*365.25/12),2400/((TODAY()-AD224)/30.44/6+1),0),0)+IFERROR(IF(AND(AE224&gt;0,(TODAY()-AE224)&lt;36*365.25/12),2400/((TODAY()-AE224)/30.44/6+1),0),0)+IFERROR(IF(AND(AF224&gt;0,(TODAY()-AF224)&lt;36*365.25/12),2400/((TODAY()-AF224)/30.44/6+1),0),0)+IFERROR(IF(AND(AG224&gt;0,(TODAY()-AG224)&lt;36*365.25/12),2400/((TODAY()-AG224)/30.44/6+1),0),0),0)</f>
        <v>0</v>
      </c>
      <c r="AB224" s="4" t="n">
        <f aca="false">COUNTA(AC224:AG224)</f>
        <v>0</v>
      </c>
      <c r="AY224" s="1" t="n">
        <v>224</v>
      </c>
    </row>
    <row r="225" customFormat="false" ht="15" hidden="false" customHeight="true" outlineLevel="0" collapsed="false">
      <c r="B225" s="1" t="n">
        <v>225</v>
      </c>
      <c r="L225" s="4" t="n">
        <f aca="true">YEAR(TODAY())-H225</f>
        <v>2026</v>
      </c>
      <c r="N225" s="4" t="n">
        <f aca="true">O225+IF(AT225=1,480,0)+AA225+IF(K225="M",IF(AH225&gt;0,IF((TODAY()-AH225)/30.44&lt;6,2400,IF((TODAY()-AH225)/30.44&lt;12,1200,0)),0),0)+IF(AP225&gt;0,AP225,0)-R225-T225-S225-U225</f>
        <v>450</v>
      </c>
      <c r="O225" s="4" t="n">
        <f aca="true">IF(X225=1,1200,IF(YEAR(TODAY())-H225&lt;18,0,IF(YEAR(TODAY())-H225&lt;65,300,450)))</f>
        <v>450</v>
      </c>
      <c r="R225" s="4" t="n">
        <f aca="false">IF(MIN(AM225+IF(ISNUMBER(AN225),AN225,0),16000)&gt;=600,(MIN(AM225+IF(ISNUMBER(AN225),AN225,0),16000)-600)^0.8/10000*MIN(AM225+IF(ISNUMBER(AN225),AN225,0),16000),0)</f>
        <v>0</v>
      </c>
      <c r="S225" s="4" t="n">
        <f aca="false">IF(AB225=0,0,IF(AB225=1,30,IF(AB225=2,60,IF(AB225=3,120,IF(AB225=4,180,240)))))</f>
        <v>0</v>
      </c>
      <c r="T225" s="4" t="n">
        <f aca="false">IF(Y225&gt;0,Y225*600/MAX(1,Z225),0)</f>
        <v>0</v>
      </c>
      <c r="U225" s="4" t="n">
        <f aca="false">IF(AW225&gt;0,AW225*1000000*MAX(0,MIN(22,1+LOG10(AW225)))/100/12,0)</f>
        <v>0</v>
      </c>
      <c r="AA225" s="4" t="n">
        <f aca="true">IF(K225="W",IFERROR(IF(AND(AC225&gt;0,(TODAY()-AC225)&lt;36*365.25/12),2400/((TODAY()-AC225)/30.44/6+1),0),0)+IFERROR(IF(AND(AD225&gt;0,(TODAY()-AD225)&lt;36*365.25/12),2400/((TODAY()-AD225)/30.44/6+1),0),0)+IFERROR(IF(AND(AE225&gt;0,(TODAY()-AE225)&lt;36*365.25/12),2400/((TODAY()-AE225)/30.44/6+1),0),0)+IFERROR(IF(AND(AF225&gt;0,(TODAY()-AF225)&lt;36*365.25/12),2400/((TODAY()-AF225)/30.44/6+1),0),0)+IFERROR(IF(AND(AG225&gt;0,(TODAY()-AG225)&lt;36*365.25/12),2400/((TODAY()-AG225)/30.44/6+1),0),0),0)</f>
        <v>0</v>
      </c>
      <c r="AB225" s="4" t="n">
        <f aca="false">COUNTA(AC225:AG225)</f>
        <v>0</v>
      </c>
      <c r="AY225" s="1" t="n">
        <v>225</v>
      </c>
    </row>
    <row r="226" customFormat="false" ht="15" hidden="false" customHeight="true" outlineLevel="0" collapsed="false">
      <c r="B226" s="1" t="n">
        <v>226</v>
      </c>
      <c r="L226" s="4" t="n">
        <f aca="true">YEAR(TODAY())-H226</f>
        <v>2026</v>
      </c>
      <c r="N226" s="4" t="n">
        <f aca="true">O226+IF(AT226=1,480,0)+AA226+IF(K226="M",IF(AH226&gt;0,IF((TODAY()-AH226)/30.44&lt;6,2400,IF((TODAY()-AH226)/30.44&lt;12,1200,0)),0),0)+IF(AP226&gt;0,AP226,0)-R226-T226-S226-U226</f>
        <v>450</v>
      </c>
      <c r="O226" s="4" t="n">
        <f aca="true">IF(X226=1,1200,IF(YEAR(TODAY())-H226&lt;18,0,IF(YEAR(TODAY())-H226&lt;65,300,450)))</f>
        <v>450</v>
      </c>
      <c r="R226" s="4" t="n">
        <f aca="false">IF(MIN(AM226+IF(ISNUMBER(AN226),AN226,0),16000)&gt;=600,(MIN(AM226+IF(ISNUMBER(AN226),AN226,0),16000)-600)^0.8/10000*MIN(AM226+IF(ISNUMBER(AN226),AN226,0),16000),0)</f>
        <v>0</v>
      </c>
      <c r="S226" s="4" t="n">
        <f aca="false">IF(AB226=0,0,IF(AB226=1,30,IF(AB226=2,60,IF(AB226=3,120,IF(AB226=4,180,240)))))</f>
        <v>0</v>
      </c>
      <c r="T226" s="4" t="n">
        <f aca="false">IF(Y226&gt;0,Y226*600/MAX(1,Z226),0)</f>
        <v>0</v>
      </c>
      <c r="U226" s="4" t="n">
        <f aca="false">IF(AW226&gt;0,AW226*1000000*MAX(0,MIN(22,1+LOG10(AW226)))/100/12,0)</f>
        <v>0</v>
      </c>
      <c r="AA226" s="4" t="n">
        <f aca="true">IF(K226="W",IFERROR(IF(AND(AC226&gt;0,(TODAY()-AC226)&lt;36*365.25/12),2400/((TODAY()-AC226)/30.44/6+1),0),0)+IFERROR(IF(AND(AD226&gt;0,(TODAY()-AD226)&lt;36*365.25/12),2400/((TODAY()-AD226)/30.44/6+1),0),0)+IFERROR(IF(AND(AE226&gt;0,(TODAY()-AE226)&lt;36*365.25/12),2400/((TODAY()-AE226)/30.44/6+1),0),0)+IFERROR(IF(AND(AF226&gt;0,(TODAY()-AF226)&lt;36*365.25/12),2400/((TODAY()-AF226)/30.44/6+1),0),0)+IFERROR(IF(AND(AG226&gt;0,(TODAY()-AG226)&lt;36*365.25/12),2400/((TODAY()-AG226)/30.44/6+1),0),0),0)</f>
        <v>0</v>
      </c>
      <c r="AB226" s="4" t="n">
        <f aca="false">COUNTA(AC226:AG226)</f>
        <v>0</v>
      </c>
      <c r="AY226" s="1" t="n">
        <v>226</v>
      </c>
    </row>
    <row r="227" customFormat="false" ht="15" hidden="false" customHeight="true" outlineLevel="0" collapsed="false">
      <c r="B227" s="1" t="n">
        <v>227</v>
      </c>
      <c r="L227" s="4" t="n">
        <f aca="true">YEAR(TODAY())-H227</f>
        <v>2026</v>
      </c>
      <c r="N227" s="4" t="n">
        <f aca="true">O227+IF(AT227=1,480,0)+AA227+IF(K227="M",IF(AH227&gt;0,IF((TODAY()-AH227)/30.44&lt;6,2400,IF((TODAY()-AH227)/30.44&lt;12,1200,0)),0),0)+IF(AP227&gt;0,AP227,0)-R227-T227-S227-U227</f>
        <v>450</v>
      </c>
      <c r="O227" s="4" t="n">
        <f aca="true">IF(X227=1,1200,IF(YEAR(TODAY())-H227&lt;18,0,IF(YEAR(TODAY())-H227&lt;65,300,450)))</f>
        <v>450</v>
      </c>
      <c r="R227" s="4" t="n">
        <f aca="false">IF(MIN(AM227+IF(ISNUMBER(AN227),AN227,0),16000)&gt;=600,(MIN(AM227+IF(ISNUMBER(AN227),AN227,0),16000)-600)^0.8/10000*MIN(AM227+IF(ISNUMBER(AN227),AN227,0),16000),0)</f>
        <v>0</v>
      </c>
      <c r="S227" s="4" t="n">
        <f aca="false">IF(AB227=0,0,IF(AB227=1,30,IF(AB227=2,60,IF(AB227=3,120,IF(AB227=4,180,240)))))</f>
        <v>0</v>
      </c>
      <c r="T227" s="4" t="n">
        <f aca="false">IF(Y227&gt;0,Y227*600/MAX(1,Z227),0)</f>
        <v>0</v>
      </c>
      <c r="U227" s="4" t="n">
        <f aca="false">IF(AW227&gt;0,AW227*1000000*MAX(0,MIN(22,1+LOG10(AW227)))/100/12,0)</f>
        <v>0</v>
      </c>
      <c r="AA227" s="4" t="n">
        <f aca="true">IF(K227="W",IFERROR(IF(AND(AC227&gt;0,(TODAY()-AC227)&lt;36*365.25/12),2400/((TODAY()-AC227)/30.44/6+1),0),0)+IFERROR(IF(AND(AD227&gt;0,(TODAY()-AD227)&lt;36*365.25/12),2400/((TODAY()-AD227)/30.44/6+1),0),0)+IFERROR(IF(AND(AE227&gt;0,(TODAY()-AE227)&lt;36*365.25/12),2400/((TODAY()-AE227)/30.44/6+1),0),0)+IFERROR(IF(AND(AF227&gt;0,(TODAY()-AF227)&lt;36*365.25/12),2400/((TODAY()-AF227)/30.44/6+1),0),0)+IFERROR(IF(AND(AG227&gt;0,(TODAY()-AG227)&lt;36*365.25/12),2400/((TODAY()-AG227)/30.44/6+1),0),0),0)</f>
        <v>0</v>
      </c>
      <c r="AB227" s="4" t="n">
        <f aca="false">COUNTA(AC227:AG227)</f>
        <v>0</v>
      </c>
      <c r="AY227" s="1" t="n">
        <v>227</v>
      </c>
    </row>
    <row r="228" customFormat="false" ht="15" hidden="false" customHeight="true" outlineLevel="0" collapsed="false">
      <c r="B228" s="1" t="n">
        <v>228</v>
      </c>
      <c r="L228" s="4" t="n">
        <f aca="true">YEAR(TODAY())-H228</f>
        <v>2026</v>
      </c>
      <c r="N228" s="4" t="n">
        <f aca="true">O228+IF(AT228=1,480,0)+AA228+IF(K228="M",IF(AH228&gt;0,IF((TODAY()-AH228)/30.44&lt;6,2400,IF((TODAY()-AH228)/30.44&lt;12,1200,0)),0),0)+IF(AP228&gt;0,AP228,0)-R228-T228-S228-U228</f>
        <v>450</v>
      </c>
      <c r="O228" s="4" t="n">
        <f aca="true">IF(X228=1,1200,IF(YEAR(TODAY())-H228&lt;18,0,IF(YEAR(TODAY())-H228&lt;65,300,450)))</f>
        <v>450</v>
      </c>
      <c r="R228" s="4" t="n">
        <f aca="false">IF(MIN(AM228+IF(ISNUMBER(AN228),AN228,0),16000)&gt;=600,(MIN(AM228+IF(ISNUMBER(AN228),AN228,0),16000)-600)^0.8/10000*MIN(AM228+IF(ISNUMBER(AN228),AN228,0),16000),0)</f>
        <v>0</v>
      </c>
      <c r="S228" s="4" t="n">
        <f aca="false">IF(AB228=0,0,IF(AB228=1,30,IF(AB228=2,60,IF(AB228=3,120,IF(AB228=4,180,240)))))</f>
        <v>0</v>
      </c>
      <c r="T228" s="4" t="n">
        <f aca="false">IF(Y228&gt;0,Y228*600/MAX(1,Z228),0)</f>
        <v>0</v>
      </c>
      <c r="U228" s="4" t="n">
        <f aca="false">IF(AW228&gt;0,AW228*1000000*MAX(0,MIN(22,1+LOG10(AW228)))/100/12,0)</f>
        <v>0</v>
      </c>
      <c r="AA228" s="4" t="n">
        <f aca="true">IF(K228="W",IFERROR(IF(AND(AC228&gt;0,(TODAY()-AC228)&lt;36*365.25/12),2400/((TODAY()-AC228)/30.44/6+1),0),0)+IFERROR(IF(AND(AD228&gt;0,(TODAY()-AD228)&lt;36*365.25/12),2400/((TODAY()-AD228)/30.44/6+1),0),0)+IFERROR(IF(AND(AE228&gt;0,(TODAY()-AE228)&lt;36*365.25/12),2400/((TODAY()-AE228)/30.44/6+1),0),0)+IFERROR(IF(AND(AF228&gt;0,(TODAY()-AF228)&lt;36*365.25/12),2400/((TODAY()-AF228)/30.44/6+1),0),0)+IFERROR(IF(AND(AG228&gt;0,(TODAY()-AG228)&lt;36*365.25/12),2400/((TODAY()-AG228)/30.44/6+1),0),0),0)</f>
        <v>0</v>
      </c>
      <c r="AB228" s="4" t="n">
        <f aca="false">COUNTA(AC228:AG228)</f>
        <v>0</v>
      </c>
      <c r="AY228" s="1" t="n">
        <v>228</v>
      </c>
    </row>
    <row r="229" customFormat="false" ht="15" hidden="false" customHeight="true" outlineLevel="0" collapsed="false">
      <c r="B229" s="1" t="n">
        <v>229</v>
      </c>
      <c r="L229" s="4" t="n">
        <f aca="true">YEAR(TODAY())-H229</f>
        <v>2026</v>
      </c>
      <c r="N229" s="4" t="n">
        <f aca="true">O229+IF(AT229=1,480,0)+AA229+IF(K229="M",IF(AH229&gt;0,IF((TODAY()-AH229)/30.44&lt;6,2400,IF((TODAY()-AH229)/30.44&lt;12,1200,0)),0),0)+IF(AP229&gt;0,AP229,0)-R229-T229-S229-U229</f>
        <v>450</v>
      </c>
      <c r="O229" s="4" t="n">
        <f aca="true">IF(X229=1,1200,IF(YEAR(TODAY())-H229&lt;18,0,IF(YEAR(TODAY())-H229&lt;65,300,450)))</f>
        <v>450</v>
      </c>
      <c r="R229" s="4" t="n">
        <f aca="false">IF(MIN(AM229+IF(ISNUMBER(AN229),AN229,0),16000)&gt;=600,(MIN(AM229+IF(ISNUMBER(AN229),AN229,0),16000)-600)^0.8/10000*MIN(AM229+IF(ISNUMBER(AN229),AN229,0),16000),0)</f>
        <v>0</v>
      </c>
      <c r="S229" s="4" t="n">
        <f aca="false">IF(AB229=0,0,IF(AB229=1,30,IF(AB229=2,60,IF(AB229=3,120,IF(AB229=4,180,240)))))</f>
        <v>0</v>
      </c>
      <c r="T229" s="4" t="n">
        <f aca="false">IF(Y229&gt;0,Y229*600/MAX(1,Z229),0)</f>
        <v>0</v>
      </c>
      <c r="U229" s="4" t="n">
        <f aca="false">IF(AW229&gt;0,AW229*1000000*MAX(0,MIN(22,1+LOG10(AW229)))/100/12,0)</f>
        <v>0</v>
      </c>
      <c r="AA229" s="4" t="n">
        <f aca="true">IF(K229="W",IFERROR(IF(AND(AC229&gt;0,(TODAY()-AC229)&lt;36*365.25/12),2400/((TODAY()-AC229)/30.44/6+1),0),0)+IFERROR(IF(AND(AD229&gt;0,(TODAY()-AD229)&lt;36*365.25/12),2400/((TODAY()-AD229)/30.44/6+1),0),0)+IFERROR(IF(AND(AE229&gt;0,(TODAY()-AE229)&lt;36*365.25/12),2400/((TODAY()-AE229)/30.44/6+1),0),0)+IFERROR(IF(AND(AF229&gt;0,(TODAY()-AF229)&lt;36*365.25/12),2400/((TODAY()-AF229)/30.44/6+1),0),0)+IFERROR(IF(AND(AG229&gt;0,(TODAY()-AG229)&lt;36*365.25/12),2400/((TODAY()-AG229)/30.44/6+1),0),0),0)</f>
        <v>0</v>
      </c>
      <c r="AB229" s="4" t="n">
        <f aca="false">COUNTA(AC229:AG229)</f>
        <v>0</v>
      </c>
      <c r="AY229" s="1" t="n">
        <v>229</v>
      </c>
    </row>
    <row r="230" customFormat="false" ht="15" hidden="false" customHeight="true" outlineLevel="0" collapsed="false">
      <c r="B230" s="1" t="n">
        <v>230</v>
      </c>
      <c r="L230" s="4" t="n">
        <f aca="true">YEAR(TODAY())-H230</f>
        <v>2026</v>
      </c>
      <c r="N230" s="4" t="n">
        <f aca="true">O230+IF(AT230=1,480,0)+AA230+IF(K230="M",IF(AH230&gt;0,IF((TODAY()-AH230)/30.44&lt;6,2400,IF((TODAY()-AH230)/30.44&lt;12,1200,0)),0),0)+IF(AP230&gt;0,AP230,0)-R230-T230-S230-U230</f>
        <v>450</v>
      </c>
      <c r="O230" s="4" t="n">
        <f aca="true">IF(X230=1,1200,IF(YEAR(TODAY())-H230&lt;18,0,IF(YEAR(TODAY())-H230&lt;65,300,450)))</f>
        <v>450</v>
      </c>
      <c r="R230" s="4" t="n">
        <f aca="false">IF(MIN(AM230+IF(ISNUMBER(AN230),AN230,0),16000)&gt;=600,(MIN(AM230+IF(ISNUMBER(AN230),AN230,0),16000)-600)^0.8/10000*MIN(AM230+IF(ISNUMBER(AN230),AN230,0),16000),0)</f>
        <v>0</v>
      </c>
      <c r="S230" s="4" t="n">
        <f aca="false">IF(AB230=0,0,IF(AB230=1,30,IF(AB230=2,60,IF(AB230=3,120,IF(AB230=4,180,240)))))</f>
        <v>0</v>
      </c>
      <c r="T230" s="4" t="n">
        <f aca="false">IF(Y230&gt;0,Y230*600/MAX(1,Z230),0)</f>
        <v>0</v>
      </c>
      <c r="U230" s="4" t="n">
        <f aca="false">IF(AW230&gt;0,AW230*1000000*MAX(0,MIN(22,1+LOG10(AW230)))/100/12,0)</f>
        <v>0</v>
      </c>
      <c r="AA230" s="4" t="n">
        <f aca="true">IF(K230="W",IFERROR(IF(AND(AC230&gt;0,(TODAY()-AC230)&lt;36*365.25/12),2400/((TODAY()-AC230)/30.44/6+1),0),0)+IFERROR(IF(AND(AD230&gt;0,(TODAY()-AD230)&lt;36*365.25/12),2400/((TODAY()-AD230)/30.44/6+1),0),0)+IFERROR(IF(AND(AE230&gt;0,(TODAY()-AE230)&lt;36*365.25/12),2400/((TODAY()-AE230)/30.44/6+1),0),0)+IFERROR(IF(AND(AF230&gt;0,(TODAY()-AF230)&lt;36*365.25/12),2400/((TODAY()-AF230)/30.44/6+1),0),0)+IFERROR(IF(AND(AG230&gt;0,(TODAY()-AG230)&lt;36*365.25/12),2400/((TODAY()-AG230)/30.44/6+1),0),0),0)</f>
        <v>0</v>
      </c>
      <c r="AB230" s="4" t="n">
        <f aca="false">COUNTA(AC230:AG230)</f>
        <v>0</v>
      </c>
      <c r="AY230" s="1" t="n">
        <v>230</v>
      </c>
    </row>
    <row r="231" customFormat="false" ht="15" hidden="false" customHeight="true" outlineLevel="0" collapsed="false">
      <c r="B231" s="1" t="n">
        <v>231</v>
      </c>
      <c r="L231" s="4" t="n">
        <f aca="true">YEAR(TODAY())-H231</f>
        <v>2026</v>
      </c>
      <c r="N231" s="4" t="n">
        <f aca="true">O231+IF(AT231=1,480,0)+AA231+IF(K231="M",IF(AH231&gt;0,IF((TODAY()-AH231)/30.44&lt;6,2400,IF((TODAY()-AH231)/30.44&lt;12,1200,0)),0),0)+IF(AP231&gt;0,AP231,0)-R231-T231-S231-U231</f>
        <v>450</v>
      </c>
      <c r="O231" s="4" t="n">
        <f aca="true">IF(X231=1,1200,IF(YEAR(TODAY())-H231&lt;18,0,IF(YEAR(TODAY())-H231&lt;65,300,450)))</f>
        <v>450</v>
      </c>
      <c r="R231" s="4" t="n">
        <f aca="false">IF(MIN(AM231+IF(ISNUMBER(AN231),AN231,0),16000)&gt;=600,(MIN(AM231+IF(ISNUMBER(AN231),AN231,0),16000)-600)^0.8/10000*MIN(AM231+IF(ISNUMBER(AN231),AN231,0),16000),0)</f>
        <v>0</v>
      </c>
      <c r="S231" s="4" t="n">
        <f aca="false">IF(AB231=0,0,IF(AB231=1,30,IF(AB231=2,60,IF(AB231=3,120,IF(AB231=4,180,240)))))</f>
        <v>0</v>
      </c>
      <c r="T231" s="4" t="n">
        <f aca="false">IF(Y231&gt;0,Y231*600/MAX(1,Z231),0)</f>
        <v>0</v>
      </c>
      <c r="U231" s="4" t="n">
        <f aca="false">IF(AW231&gt;0,AW231*1000000*MAX(0,MIN(22,1+LOG10(AW231)))/100/12,0)</f>
        <v>0</v>
      </c>
      <c r="AA231" s="4" t="n">
        <f aca="true">IF(K231="W",IFERROR(IF(AND(AC231&gt;0,(TODAY()-AC231)&lt;36*365.25/12),2400/((TODAY()-AC231)/30.44/6+1),0),0)+IFERROR(IF(AND(AD231&gt;0,(TODAY()-AD231)&lt;36*365.25/12),2400/((TODAY()-AD231)/30.44/6+1),0),0)+IFERROR(IF(AND(AE231&gt;0,(TODAY()-AE231)&lt;36*365.25/12),2400/((TODAY()-AE231)/30.44/6+1),0),0)+IFERROR(IF(AND(AF231&gt;0,(TODAY()-AF231)&lt;36*365.25/12),2400/((TODAY()-AF231)/30.44/6+1),0),0)+IFERROR(IF(AND(AG231&gt;0,(TODAY()-AG231)&lt;36*365.25/12),2400/((TODAY()-AG231)/30.44/6+1),0),0),0)</f>
        <v>0</v>
      </c>
      <c r="AB231" s="4" t="n">
        <f aca="false">COUNTA(AC231:AG231)</f>
        <v>0</v>
      </c>
      <c r="AY231" s="1" t="n">
        <v>231</v>
      </c>
    </row>
    <row r="232" customFormat="false" ht="15" hidden="false" customHeight="true" outlineLevel="0" collapsed="false">
      <c r="B232" s="1" t="n">
        <v>232</v>
      </c>
      <c r="L232" s="4" t="n">
        <f aca="true">YEAR(TODAY())-H232</f>
        <v>2026</v>
      </c>
      <c r="N232" s="4" t="n">
        <f aca="true">O232+IF(AT232=1,480,0)+AA232+IF(K232="M",IF(AH232&gt;0,IF((TODAY()-AH232)/30.44&lt;6,2400,IF((TODAY()-AH232)/30.44&lt;12,1200,0)),0),0)+IF(AP232&gt;0,AP232,0)-R232-T232-S232-U232</f>
        <v>450</v>
      </c>
      <c r="O232" s="4" t="n">
        <f aca="true">IF(X232=1,1200,IF(YEAR(TODAY())-H232&lt;18,0,IF(YEAR(TODAY())-H232&lt;65,300,450)))</f>
        <v>450</v>
      </c>
      <c r="R232" s="4" t="n">
        <f aca="false">IF(MIN(AM232+IF(ISNUMBER(AN232),AN232,0),16000)&gt;=600,(MIN(AM232+IF(ISNUMBER(AN232),AN232,0),16000)-600)^0.8/10000*MIN(AM232+IF(ISNUMBER(AN232),AN232,0),16000),0)</f>
        <v>0</v>
      </c>
      <c r="S232" s="4" t="n">
        <f aca="false">IF(AB232=0,0,IF(AB232=1,30,IF(AB232=2,60,IF(AB232=3,120,IF(AB232=4,180,240)))))</f>
        <v>0</v>
      </c>
      <c r="T232" s="4" t="n">
        <f aca="false">IF(Y232&gt;0,Y232*600/MAX(1,Z232),0)</f>
        <v>0</v>
      </c>
      <c r="U232" s="4" t="n">
        <f aca="false">IF(AW232&gt;0,AW232*1000000*MAX(0,MIN(22,1+LOG10(AW232)))/100/12,0)</f>
        <v>0</v>
      </c>
      <c r="AA232" s="4" t="n">
        <f aca="true">IF(K232="W",IFERROR(IF(AND(AC232&gt;0,(TODAY()-AC232)&lt;36*365.25/12),2400/((TODAY()-AC232)/30.44/6+1),0),0)+IFERROR(IF(AND(AD232&gt;0,(TODAY()-AD232)&lt;36*365.25/12),2400/((TODAY()-AD232)/30.44/6+1),0),0)+IFERROR(IF(AND(AE232&gt;0,(TODAY()-AE232)&lt;36*365.25/12),2400/((TODAY()-AE232)/30.44/6+1),0),0)+IFERROR(IF(AND(AF232&gt;0,(TODAY()-AF232)&lt;36*365.25/12),2400/((TODAY()-AF232)/30.44/6+1),0),0)+IFERROR(IF(AND(AG232&gt;0,(TODAY()-AG232)&lt;36*365.25/12),2400/((TODAY()-AG232)/30.44/6+1),0),0),0)</f>
        <v>0</v>
      </c>
      <c r="AB232" s="4" t="n">
        <f aca="false">COUNTA(AC232:AG232)</f>
        <v>0</v>
      </c>
      <c r="AY232" s="1" t="n">
        <v>232</v>
      </c>
    </row>
    <row r="233" customFormat="false" ht="15" hidden="false" customHeight="true" outlineLevel="0" collapsed="false">
      <c r="B233" s="1" t="n">
        <v>233</v>
      </c>
      <c r="L233" s="4" t="n">
        <f aca="true">YEAR(TODAY())-H233</f>
        <v>2026</v>
      </c>
      <c r="N233" s="4" t="n">
        <f aca="true">O233+IF(AT233=1,480,0)+AA233+IF(K233="M",IF(AH233&gt;0,IF((TODAY()-AH233)/30.44&lt;6,2400,IF((TODAY()-AH233)/30.44&lt;12,1200,0)),0),0)+IF(AP233&gt;0,AP233,0)-R233-T233-S233-U233</f>
        <v>450</v>
      </c>
      <c r="O233" s="4" t="n">
        <f aca="true">IF(X233=1,1200,IF(YEAR(TODAY())-H233&lt;18,0,IF(YEAR(TODAY())-H233&lt;65,300,450)))</f>
        <v>450</v>
      </c>
      <c r="R233" s="4" t="n">
        <f aca="false">IF(MIN(AM233+IF(ISNUMBER(AN233),AN233,0),16000)&gt;=600,(MIN(AM233+IF(ISNUMBER(AN233),AN233,0),16000)-600)^0.8/10000*MIN(AM233+IF(ISNUMBER(AN233),AN233,0),16000),0)</f>
        <v>0</v>
      </c>
      <c r="S233" s="4" t="n">
        <f aca="false">IF(AB233=0,0,IF(AB233=1,30,IF(AB233=2,60,IF(AB233=3,120,IF(AB233=4,180,240)))))</f>
        <v>0</v>
      </c>
      <c r="T233" s="4" t="n">
        <f aca="false">IF(Y233&gt;0,Y233*600/MAX(1,Z233),0)</f>
        <v>0</v>
      </c>
      <c r="U233" s="4" t="n">
        <f aca="false">IF(AW233&gt;0,AW233*1000000*MAX(0,MIN(22,1+LOG10(AW233)))/100/12,0)</f>
        <v>0</v>
      </c>
      <c r="AA233" s="4" t="n">
        <f aca="true">IF(K233="W",IFERROR(IF(AND(AC233&gt;0,(TODAY()-AC233)&lt;36*365.25/12),2400/((TODAY()-AC233)/30.44/6+1),0),0)+IFERROR(IF(AND(AD233&gt;0,(TODAY()-AD233)&lt;36*365.25/12),2400/((TODAY()-AD233)/30.44/6+1),0),0)+IFERROR(IF(AND(AE233&gt;0,(TODAY()-AE233)&lt;36*365.25/12),2400/((TODAY()-AE233)/30.44/6+1),0),0)+IFERROR(IF(AND(AF233&gt;0,(TODAY()-AF233)&lt;36*365.25/12),2400/((TODAY()-AF233)/30.44/6+1),0),0)+IFERROR(IF(AND(AG233&gt;0,(TODAY()-AG233)&lt;36*365.25/12),2400/((TODAY()-AG233)/30.44/6+1),0),0),0)</f>
        <v>0</v>
      </c>
      <c r="AB233" s="4" t="n">
        <f aca="false">COUNTA(AC233:AG233)</f>
        <v>0</v>
      </c>
      <c r="AY233" s="1" t="n">
        <v>233</v>
      </c>
    </row>
    <row r="234" customFormat="false" ht="15" hidden="false" customHeight="true" outlineLevel="0" collapsed="false">
      <c r="B234" s="1" t="n">
        <v>234</v>
      </c>
      <c r="L234" s="4" t="n">
        <f aca="true">YEAR(TODAY())-H234</f>
        <v>2026</v>
      </c>
      <c r="N234" s="4" t="n">
        <f aca="true">O234+IF(AT234=1,480,0)+AA234+IF(K234="M",IF(AH234&gt;0,IF((TODAY()-AH234)/30.44&lt;6,2400,IF((TODAY()-AH234)/30.44&lt;12,1200,0)),0),0)+IF(AP234&gt;0,AP234,0)-R234-T234-S234-U234</f>
        <v>450</v>
      </c>
      <c r="O234" s="4" t="n">
        <f aca="true">IF(X234=1,1200,IF(YEAR(TODAY())-H234&lt;18,0,IF(YEAR(TODAY())-H234&lt;65,300,450)))</f>
        <v>450</v>
      </c>
      <c r="R234" s="4" t="n">
        <f aca="false">IF(MIN(AM234+IF(ISNUMBER(AN234),AN234,0),16000)&gt;=600,(MIN(AM234+IF(ISNUMBER(AN234),AN234,0),16000)-600)^0.8/10000*MIN(AM234+IF(ISNUMBER(AN234),AN234,0),16000),0)</f>
        <v>0</v>
      </c>
      <c r="S234" s="4" t="n">
        <f aca="false">IF(AB234=0,0,IF(AB234=1,30,IF(AB234=2,60,IF(AB234=3,120,IF(AB234=4,180,240)))))</f>
        <v>0</v>
      </c>
      <c r="T234" s="4" t="n">
        <f aca="false">IF(Y234&gt;0,Y234*600/MAX(1,Z234),0)</f>
        <v>0</v>
      </c>
      <c r="U234" s="4" t="n">
        <f aca="false">IF(AW234&gt;0,AW234*1000000*MAX(0,MIN(22,1+LOG10(AW234)))/100/12,0)</f>
        <v>0</v>
      </c>
      <c r="AA234" s="4" t="n">
        <f aca="true">IF(K234="W",IFERROR(IF(AND(AC234&gt;0,(TODAY()-AC234)&lt;36*365.25/12),2400/((TODAY()-AC234)/30.44/6+1),0),0)+IFERROR(IF(AND(AD234&gt;0,(TODAY()-AD234)&lt;36*365.25/12),2400/((TODAY()-AD234)/30.44/6+1),0),0)+IFERROR(IF(AND(AE234&gt;0,(TODAY()-AE234)&lt;36*365.25/12),2400/((TODAY()-AE234)/30.44/6+1),0),0)+IFERROR(IF(AND(AF234&gt;0,(TODAY()-AF234)&lt;36*365.25/12),2400/((TODAY()-AF234)/30.44/6+1),0),0)+IFERROR(IF(AND(AG234&gt;0,(TODAY()-AG234)&lt;36*365.25/12),2400/((TODAY()-AG234)/30.44/6+1),0),0),0)</f>
        <v>0</v>
      </c>
      <c r="AB234" s="4" t="n">
        <f aca="false">COUNTA(AC234:AG234)</f>
        <v>0</v>
      </c>
      <c r="AY234" s="1" t="n">
        <v>234</v>
      </c>
    </row>
    <row r="235" customFormat="false" ht="15" hidden="false" customHeight="true" outlineLevel="0" collapsed="false">
      <c r="B235" s="1" t="n">
        <v>235</v>
      </c>
      <c r="L235" s="4" t="n">
        <f aca="true">YEAR(TODAY())-H235</f>
        <v>2026</v>
      </c>
      <c r="N235" s="4" t="n">
        <f aca="true">O235+IF(AT235=1,480,0)+AA235+IF(K235="M",IF(AH235&gt;0,IF((TODAY()-AH235)/30.44&lt;6,2400,IF((TODAY()-AH235)/30.44&lt;12,1200,0)),0),0)+IF(AP235&gt;0,AP235,0)-R235-T235-S235-U235</f>
        <v>450</v>
      </c>
      <c r="O235" s="4" t="n">
        <f aca="true">IF(X235=1,1200,IF(YEAR(TODAY())-H235&lt;18,0,IF(YEAR(TODAY())-H235&lt;65,300,450)))</f>
        <v>450</v>
      </c>
      <c r="R235" s="4" t="n">
        <f aca="false">IF(MIN(AM235+IF(ISNUMBER(AN235),AN235,0),16000)&gt;=600,(MIN(AM235+IF(ISNUMBER(AN235),AN235,0),16000)-600)^0.8/10000*MIN(AM235+IF(ISNUMBER(AN235),AN235,0),16000),0)</f>
        <v>0</v>
      </c>
      <c r="S235" s="4" t="n">
        <f aca="false">IF(AB235=0,0,IF(AB235=1,30,IF(AB235=2,60,IF(AB235=3,120,IF(AB235=4,180,240)))))</f>
        <v>0</v>
      </c>
      <c r="T235" s="4" t="n">
        <f aca="false">IF(Y235&gt;0,Y235*600/MAX(1,Z235),0)</f>
        <v>0</v>
      </c>
      <c r="U235" s="4" t="n">
        <f aca="false">IF(AW235&gt;0,AW235*1000000*MAX(0,MIN(22,1+LOG10(AW235)))/100/12,0)</f>
        <v>0</v>
      </c>
      <c r="AA235" s="4" t="n">
        <f aca="true">IF(K235="W",IFERROR(IF(AND(AC235&gt;0,(TODAY()-AC235)&lt;36*365.25/12),2400/((TODAY()-AC235)/30.44/6+1),0),0)+IFERROR(IF(AND(AD235&gt;0,(TODAY()-AD235)&lt;36*365.25/12),2400/((TODAY()-AD235)/30.44/6+1),0),0)+IFERROR(IF(AND(AE235&gt;0,(TODAY()-AE235)&lt;36*365.25/12),2400/((TODAY()-AE235)/30.44/6+1),0),0)+IFERROR(IF(AND(AF235&gt;0,(TODAY()-AF235)&lt;36*365.25/12),2400/((TODAY()-AF235)/30.44/6+1),0),0)+IFERROR(IF(AND(AG235&gt;0,(TODAY()-AG235)&lt;36*365.25/12),2400/((TODAY()-AG235)/30.44/6+1),0),0),0)</f>
        <v>0</v>
      </c>
      <c r="AB235" s="4" t="n">
        <f aca="false">COUNTA(AC235:AG235)</f>
        <v>0</v>
      </c>
      <c r="AY235" s="1" t="n">
        <v>235</v>
      </c>
    </row>
    <row r="236" customFormat="false" ht="15" hidden="false" customHeight="true" outlineLevel="0" collapsed="false">
      <c r="B236" s="1" t="n">
        <v>236</v>
      </c>
      <c r="L236" s="4" t="n">
        <f aca="true">YEAR(TODAY())-H236</f>
        <v>2026</v>
      </c>
      <c r="N236" s="4" t="n">
        <f aca="true">O236+IF(AT236=1,480,0)+AA236+IF(K236="M",IF(AH236&gt;0,IF((TODAY()-AH236)/30.44&lt;6,2400,IF((TODAY()-AH236)/30.44&lt;12,1200,0)),0),0)+IF(AP236&gt;0,AP236,0)-R236-T236-S236-U236</f>
        <v>450</v>
      </c>
      <c r="O236" s="4" t="n">
        <f aca="true">IF(X236=1,1200,IF(YEAR(TODAY())-H236&lt;18,0,IF(YEAR(TODAY())-H236&lt;65,300,450)))</f>
        <v>450</v>
      </c>
      <c r="R236" s="4" t="n">
        <f aca="false">IF(MIN(AM236+IF(ISNUMBER(AN236),AN236,0),16000)&gt;=600,(MIN(AM236+IF(ISNUMBER(AN236),AN236,0),16000)-600)^0.8/10000*MIN(AM236+IF(ISNUMBER(AN236),AN236,0),16000),0)</f>
        <v>0</v>
      </c>
      <c r="S236" s="4" t="n">
        <f aca="false">IF(AB236=0,0,IF(AB236=1,30,IF(AB236=2,60,IF(AB236=3,120,IF(AB236=4,180,240)))))</f>
        <v>0</v>
      </c>
      <c r="T236" s="4" t="n">
        <f aca="false">IF(Y236&gt;0,Y236*600/MAX(1,Z236),0)</f>
        <v>0</v>
      </c>
      <c r="U236" s="4" t="n">
        <f aca="false">IF(AW236&gt;0,AW236*1000000*MAX(0,MIN(22,1+LOG10(AW236)))/100/12,0)</f>
        <v>0</v>
      </c>
      <c r="AA236" s="4" t="n">
        <f aca="true">IF(K236="W",IFERROR(IF(AND(AC236&gt;0,(TODAY()-AC236)&lt;36*365.25/12),2400/((TODAY()-AC236)/30.44/6+1),0),0)+IFERROR(IF(AND(AD236&gt;0,(TODAY()-AD236)&lt;36*365.25/12),2400/((TODAY()-AD236)/30.44/6+1),0),0)+IFERROR(IF(AND(AE236&gt;0,(TODAY()-AE236)&lt;36*365.25/12),2400/((TODAY()-AE236)/30.44/6+1),0),0)+IFERROR(IF(AND(AF236&gt;0,(TODAY()-AF236)&lt;36*365.25/12),2400/((TODAY()-AF236)/30.44/6+1),0),0)+IFERROR(IF(AND(AG236&gt;0,(TODAY()-AG236)&lt;36*365.25/12),2400/((TODAY()-AG236)/30.44/6+1),0),0),0)</f>
        <v>0</v>
      </c>
      <c r="AB236" s="4" t="n">
        <f aca="false">COUNTA(AC236:AG236)</f>
        <v>0</v>
      </c>
      <c r="AY236" s="1" t="n">
        <v>236</v>
      </c>
    </row>
    <row r="237" customFormat="false" ht="15" hidden="false" customHeight="true" outlineLevel="0" collapsed="false">
      <c r="B237" s="1" t="n">
        <v>237</v>
      </c>
      <c r="L237" s="4" t="n">
        <f aca="true">YEAR(TODAY())-H237</f>
        <v>2026</v>
      </c>
      <c r="N237" s="4" t="n">
        <f aca="true">O237+IF(AT237=1,480,0)+AA237+IF(K237="M",IF(AH237&gt;0,IF((TODAY()-AH237)/30.44&lt;6,2400,IF((TODAY()-AH237)/30.44&lt;12,1200,0)),0),0)+IF(AP237&gt;0,AP237,0)-R237-T237-S237-U237</f>
        <v>450</v>
      </c>
      <c r="O237" s="4" t="n">
        <f aca="true">IF(X237=1,1200,IF(YEAR(TODAY())-H237&lt;18,0,IF(YEAR(TODAY())-H237&lt;65,300,450)))</f>
        <v>450</v>
      </c>
      <c r="R237" s="4" t="n">
        <f aca="false">IF(MIN(AM237+IF(ISNUMBER(AN237),AN237,0),16000)&gt;=600,(MIN(AM237+IF(ISNUMBER(AN237),AN237,0),16000)-600)^0.8/10000*MIN(AM237+IF(ISNUMBER(AN237),AN237,0),16000),0)</f>
        <v>0</v>
      </c>
      <c r="S237" s="4" t="n">
        <f aca="false">IF(AB237=0,0,IF(AB237=1,30,IF(AB237=2,60,IF(AB237=3,120,IF(AB237=4,180,240)))))</f>
        <v>0</v>
      </c>
      <c r="T237" s="4" t="n">
        <f aca="false">IF(Y237&gt;0,Y237*600/MAX(1,Z237),0)</f>
        <v>0</v>
      </c>
      <c r="U237" s="4" t="n">
        <f aca="false">IF(AW237&gt;0,AW237*1000000*MAX(0,MIN(22,1+LOG10(AW237)))/100/12,0)</f>
        <v>0</v>
      </c>
      <c r="AA237" s="4" t="n">
        <f aca="true">IF(K237="W",IFERROR(IF(AND(AC237&gt;0,(TODAY()-AC237)&lt;36*365.25/12),2400/((TODAY()-AC237)/30.44/6+1),0),0)+IFERROR(IF(AND(AD237&gt;0,(TODAY()-AD237)&lt;36*365.25/12),2400/((TODAY()-AD237)/30.44/6+1),0),0)+IFERROR(IF(AND(AE237&gt;0,(TODAY()-AE237)&lt;36*365.25/12),2400/((TODAY()-AE237)/30.44/6+1),0),0)+IFERROR(IF(AND(AF237&gt;0,(TODAY()-AF237)&lt;36*365.25/12),2400/((TODAY()-AF237)/30.44/6+1),0),0)+IFERROR(IF(AND(AG237&gt;0,(TODAY()-AG237)&lt;36*365.25/12),2400/((TODAY()-AG237)/30.44/6+1),0),0),0)</f>
        <v>0</v>
      </c>
      <c r="AB237" s="4" t="n">
        <f aca="false">COUNTA(AC237:AG237)</f>
        <v>0</v>
      </c>
      <c r="AY237" s="1" t="n">
        <v>237</v>
      </c>
    </row>
    <row r="238" customFormat="false" ht="15" hidden="false" customHeight="true" outlineLevel="0" collapsed="false">
      <c r="B238" s="1" t="n">
        <v>238</v>
      </c>
      <c r="L238" s="4" t="n">
        <f aca="true">YEAR(TODAY())-H238</f>
        <v>2026</v>
      </c>
      <c r="N238" s="4" t="n">
        <f aca="true">O238+IF(AT238=1,480,0)+AA238+IF(K238="M",IF(AH238&gt;0,IF((TODAY()-AH238)/30.44&lt;6,2400,IF((TODAY()-AH238)/30.44&lt;12,1200,0)),0),0)+IF(AP238&gt;0,AP238,0)-R238-T238-S238-U238</f>
        <v>450</v>
      </c>
      <c r="O238" s="4" t="n">
        <f aca="true">IF(X238=1,1200,IF(YEAR(TODAY())-H238&lt;18,0,IF(YEAR(TODAY())-H238&lt;65,300,450)))</f>
        <v>450</v>
      </c>
      <c r="R238" s="4" t="n">
        <f aca="false">IF(MIN(AM238+IF(ISNUMBER(AN238),AN238,0),16000)&gt;=600,(MIN(AM238+IF(ISNUMBER(AN238),AN238,0),16000)-600)^0.8/10000*MIN(AM238+IF(ISNUMBER(AN238),AN238,0),16000),0)</f>
        <v>0</v>
      </c>
      <c r="S238" s="4" t="n">
        <f aca="false">IF(AB238=0,0,IF(AB238=1,30,IF(AB238=2,60,IF(AB238=3,120,IF(AB238=4,180,240)))))</f>
        <v>0</v>
      </c>
      <c r="T238" s="4" t="n">
        <f aca="false">IF(Y238&gt;0,Y238*600/MAX(1,Z238),0)</f>
        <v>0</v>
      </c>
      <c r="U238" s="4" t="n">
        <f aca="false">IF(AW238&gt;0,AW238*1000000*MAX(0,MIN(22,1+LOG10(AW238)))/100/12,0)</f>
        <v>0</v>
      </c>
      <c r="AA238" s="4" t="n">
        <f aca="true">IF(K238="W",IFERROR(IF(AND(AC238&gt;0,(TODAY()-AC238)&lt;36*365.25/12),2400/((TODAY()-AC238)/30.44/6+1),0),0)+IFERROR(IF(AND(AD238&gt;0,(TODAY()-AD238)&lt;36*365.25/12),2400/((TODAY()-AD238)/30.44/6+1),0),0)+IFERROR(IF(AND(AE238&gt;0,(TODAY()-AE238)&lt;36*365.25/12),2400/((TODAY()-AE238)/30.44/6+1),0),0)+IFERROR(IF(AND(AF238&gt;0,(TODAY()-AF238)&lt;36*365.25/12),2400/((TODAY()-AF238)/30.44/6+1),0),0)+IFERROR(IF(AND(AG238&gt;0,(TODAY()-AG238)&lt;36*365.25/12),2400/((TODAY()-AG238)/30.44/6+1),0),0),0)</f>
        <v>0</v>
      </c>
      <c r="AB238" s="4" t="n">
        <f aca="false">COUNTA(AC238:AG238)</f>
        <v>0</v>
      </c>
      <c r="AY238" s="1" t="n">
        <v>238</v>
      </c>
    </row>
    <row r="239" customFormat="false" ht="15" hidden="false" customHeight="true" outlineLevel="0" collapsed="false">
      <c r="B239" s="1" t="n">
        <v>239</v>
      </c>
      <c r="L239" s="4" t="n">
        <f aca="true">YEAR(TODAY())-H239</f>
        <v>2026</v>
      </c>
      <c r="N239" s="4" t="n">
        <f aca="true">O239+IF(AT239=1,480,0)+AA239+IF(K239="M",IF(AH239&gt;0,IF((TODAY()-AH239)/30.44&lt;6,2400,IF((TODAY()-AH239)/30.44&lt;12,1200,0)),0),0)+IF(AP239&gt;0,AP239,0)-R239-T239-S239-U239</f>
        <v>450</v>
      </c>
      <c r="O239" s="4" t="n">
        <f aca="true">IF(X239=1,1200,IF(YEAR(TODAY())-H239&lt;18,0,IF(YEAR(TODAY())-H239&lt;65,300,450)))</f>
        <v>450</v>
      </c>
      <c r="R239" s="4" t="n">
        <f aca="false">IF(MIN(AM239+IF(ISNUMBER(AN239),AN239,0),16000)&gt;=600,(MIN(AM239+IF(ISNUMBER(AN239),AN239,0),16000)-600)^0.8/10000*MIN(AM239+IF(ISNUMBER(AN239),AN239,0),16000),0)</f>
        <v>0</v>
      </c>
      <c r="S239" s="4" t="n">
        <f aca="false">IF(AB239=0,0,IF(AB239=1,30,IF(AB239=2,60,IF(AB239=3,120,IF(AB239=4,180,240)))))</f>
        <v>0</v>
      </c>
      <c r="T239" s="4" t="n">
        <f aca="false">IF(Y239&gt;0,Y239*600/MAX(1,Z239),0)</f>
        <v>0</v>
      </c>
      <c r="U239" s="4" t="n">
        <f aca="false">IF(AW239&gt;0,AW239*1000000*MAX(0,MIN(22,1+LOG10(AW239)))/100/12,0)</f>
        <v>0</v>
      </c>
      <c r="AA239" s="4" t="n">
        <f aca="true">IF(K239="W",IFERROR(IF(AND(AC239&gt;0,(TODAY()-AC239)&lt;36*365.25/12),2400/((TODAY()-AC239)/30.44/6+1),0),0)+IFERROR(IF(AND(AD239&gt;0,(TODAY()-AD239)&lt;36*365.25/12),2400/((TODAY()-AD239)/30.44/6+1),0),0)+IFERROR(IF(AND(AE239&gt;0,(TODAY()-AE239)&lt;36*365.25/12),2400/((TODAY()-AE239)/30.44/6+1),0),0)+IFERROR(IF(AND(AF239&gt;0,(TODAY()-AF239)&lt;36*365.25/12),2400/((TODAY()-AF239)/30.44/6+1),0),0)+IFERROR(IF(AND(AG239&gt;0,(TODAY()-AG239)&lt;36*365.25/12),2400/((TODAY()-AG239)/30.44/6+1),0),0),0)</f>
        <v>0</v>
      </c>
      <c r="AB239" s="4" t="n">
        <f aca="false">COUNTA(AC239:AG239)</f>
        <v>0</v>
      </c>
      <c r="AY239" s="1" t="n">
        <v>239</v>
      </c>
    </row>
    <row r="240" customFormat="false" ht="15" hidden="false" customHeight="true" outlineLevel="0" collapsed="false">
      <c r="B240" s="1" t="n">
        <v>240</v>
      </c>
      <c r="L240" s="4" t="n">
        <f aca="true">YEAR(TODAY())-H240</f>
        <v>2026</v>
      </c>
      <c r="N240" s="4" t="n">
        <f aca="true">O240+IF(AT240=1,480,0)+AA240+IF(K240="M",IF(AH240&gt;0,IF((TODAY()-AH240)/30.44&lt;6,2400,IF((TODAY()-AH240)/30.44&lt;12,1200,0)),0),0)+IF(AP240&gt;0,AP240,0)-R240-T240-S240-U240</f>
        <v>450</v>
      </c>
      <c r="O240" s="4" t="n">
        <f aca="true">IF(X240=1,1200,IF(YEAR(TODAY())-H240&lt;18,0,IF(YEAR(TODAY())-H240&lt;65,300,450)))</f>
        <v>450</v>
      </c>
      <c r="R240" s="4" t="n">
        <f aca="false">IF(MIN(AM240+IF(ISNUMBER(AN240),AN240,0),16000)&gt;=600,(MIN(AM240+IF(ISNUMBER(AN240),AN240,0),16000)-600)^0.8/10000*MIN(AM240+IF(ISNUMBER(AN240),AN240,0),16000),0)</f>
        <v>0</v>
      </c>
      <c r="S240" s="4" t="n">
        <f aca="false">IF(AB240=0,0,IF(AB240=1,30,IF(AB240=2,60,IF(AB240=3,120,IF(AB240=4,180,240)))))</f>
        <v>0</v>
      </c>
      <c r="T240" s="4" t="n">
        <f aca="false">IF(Y240&gt;0,Y240*600/MAX(1,Z240),0)</f>
        <v>0</v>
      </c>
      <c r="U240" s="4" t="n">
        <f aca="false">IF(AW240&gt;0,AW240*1000000*MAX(0,MIN(22,1+LOG10(AW240)))/100/12,0)</f>
        <v>0</v>
      </c>
      <c r="AA240" s="4" t="n">
        <f aca="true">IF(K240="W",IFERROR(IF(AND(AC240&gt;0,(TODAY()-AC240)&lt;36*365.25/12),2400/((TODAY()-AC240)/30.44/6+1),0),0)+IFERROR(IF(AND(AD240&gt;0,(TODAY()-AD240)&lt;36*365.25/12),2400/((TODAY()-AD240)/30.44/6+1),0),0)+IFERROR(IF(AND(AE240&gt;0,(TODAY()-AE240)&lt;36*365.25/12),2400/((TODAY()-AE240)/30.44/6+1),0),0)+IFERROR(IF(AND(AF240&gt;0,(TODAY()-AF240)&lt;36*365.25/12),2400/((TODAY()-AF240)/30.44/6+1),0),0)+IFERROR(IF(AND(AG240&gt;0,(TODAY()-AG240)&lt;36*365.25/12),2400/((TODAY()-AG240)/30.44/6+1),0),0),0)</f>
        <v>0</v>
      </c>
      <c r="AB240" s="4" t="n">
        <f aca="false">COUNTA(AC240:AG240)</f>
        <v>0</v>
      </c>
      <c r="AY240" s="1" t="n">
        <v>240</v>
      </c>
    </row>
    <row r="241" customFormat="false" ht="15" hidden="false" customHeight="true" outlineLevel="0" collapsed="false">
      <c r="B241" s="1" t="n">
        <v>241</v>
      </c>
      <c r="L241" s="4" t="n">
        <f aca="true">YEAR(TODAY())-H241</f>
        <v>2026</v>
      </c>
      <c r="N241" s="4" t="n">
        <f aca="true">O241+IF(AT241=1,480,0)+AA241+IF(K241="M",IF(AH241&gt;0,IF((TODAY()-AH241)/30.44&lt;6,2400,IF((TODAY()-AH241)/30.44&lt;12,1200,0)),0),0)+IF(AP241&gt;0,AP241,0)-R241-T241-S241-U241</f>
        <v>450</v>
      </c>
      <c r="O241" s="4" t="n">
        <f aca="true">IF(X241=1,1200,IF(YEAR(TODAY())-H241&lt;18,0,IF(YEAR(TODAY())-H241&lt;65,300,450)))</f>
        <v>450</v>
      </c>
      <c r="R241" s="4" t="n">
        <f aca="false">IF(MIN(AM241+IF(ISNUMBER(AN241),AN241,0),16000)&gt;=600,(MIN(AM241+IF(ISNUMBER(AN241),AN241,0),16000)-600)^0.8/10000*MIN(AM241+IF(ISNUMBER(AN241),AN241,0),16000),0)</f>
        <v>0</v>
      </c>
      <c r="S241" s="4" t="n">
        <f aca="false">IF(AB241=0,0,IF(AB241=1,30,IF(AB241=2,60,IF(AB241=3,120,IF(AB241=4,180,240)))))</f>
        <v>0</v>
      </c>
      <c r="T241" s="4" t="n">
        <f aca="false">IF(Y241&gt;0,Y241*600/MAX(1,Z241),0)</f>
        <v>0</v>
      </c>
      <c r="U241" s="4" t="n">
        <f aca="false">IF(AW241&gt;0,AW241*1000000*MAX(0,MIN(22,1+LOG10(AW241)))/100/12,0)</f>
        <v>0</v>
      </c>
      <c r="AA241" s="4" t="n">
        <f aca="true">IF(K241="W",IFERROR(IF(AND(AC241&gt;0,(TODAY()-AC241)&lt;36*365.25/12),2400/((TODAY()-AC241)/30.44/6+1),0),0)+IFERROR(IF(AND(AD241&gt;0,(TODAY()-AD241)&lt;36*365.25/12),2400/((TODAY()-AD241)/30.44/6+1),0),0)+IFERROR(IF(AND(AE241&gt;0,(TODAY()-AE241)&lt;36*365.25/12),2400/((TODAY()-AE241)/30.44/6+1),0),0)+IFERROR(IF(AND(AF241&gt;0,(TODAY()-AF241)&lt;36*365.25/12),2400/((TODAY()-AF241)/30.44/6+1),0),0)+IFERROR(IF(AND(AG241&gt;0,(TODAY()-AG241)&lt;36*365.25/12),2400/((TODAY()-AG241)/30.44/6+1),0),0),0)</f>
        <v>0</v>
      </c>
      <c r="AB241" s="4" t="n">
        <f aca="false">COUNTA(AC241:AG241)</f>
        <v>0</v>
      </c>
      <c r="AY241" s="1" t="n">
        <v>241</v>
      </c>
    </row>
    <row r="242" customFormat="false" ht="15" hidden="false" customHeight="true" outlineLevel="0" collapsed="false">
      <c r="B242" s="1" t="n">
        <v>242</v>
      </c>
      <c r="L242" s="4" t="n">
        <f aca="true">YEAR(TODAY())-H242</f>
        <v>2026</v>
      </c>
      <c r="N242" s="4" t="n">
        <f aca="true">O242+IF(AT242=1,480,0)+AA242+IF(K242="M",IF(AH242&gt;0,IF((TODAY()-AH242)/30.44&lt;6,2400,IF((TODAY()-AH242)/30.44&lt;12,1200,0)),0),0)+IF(AP242&gt;0,AP242,0)-R242-T242-S242-U242</f>
        <v>450</v>
      </c>
      <c r="O242" s="4" t="n">
        <f aca="true">IF(X242=1,1200,IF(YEAR(TODAY())-H242&lt;18,0,IF(YEAR(TODAY())-H242&lt;65,300,450)))</f>
        <v>450</v>
      </c>
      <c r="R242" s="4" t="n">
        <f aca="false">IF(MIN(AM242+IF(ISNUMBER(AN242),AN242,0),16000)&gt;=600,(MIN(AM242+IF(ISNUMBER(AN242),AN242,0),16000)-600)^0.8/10000*MIN(AM242+IF(ISNUMBER(AN242),AN242,0),16000),0)</f>
        <v>0</v>
      </c>
      <c r="S242" s="4" t="n">
        <f aca="false">IF(AB242=0,0,IF(AB242=1,30,IF(AB242=2,60,IF(AB242=3,120,IF(AB242=4,180,240)))))</f>
        <v>0</v>
      </c>
      <c r="T242" s="4" t="n">
        <f aca="false">IF(Y242&gt;0,Y242*600/MAX(1,Z242),0)</f>
        <v>0</v>
      </c>
      <c r="U242" s="4" t="n">
        <f aca="false">IF(AW242&gt;0,AW242*1000000*MAX(0,MIN(22,1+LOG10(AW242)))/100/12,0)</f>
        <v>0</v>
      </c>
      <c r="AA242" s="4" t="n">
        <f aca="true">IF(K242="W",IFERROR(IF(AND(AC242&gt;0,(TODAY()-AC242)&lt;36*365.25/12),2400/((TODAY()-AC242)/30.44/6+1),0),0)+IFERROR(IF(AND(AD242&gt;0,(TODAY()-AD242)&lt;36*365.25/12),2400/((TODAY()-AD242)/30.44/6+1),0),0)+IFERROR(IF(AND(AE242&gt;0,(TODAY()-AE242)&lt;36*365.25/12),2400/((TODAY()-AE242)/30.44/6+1),0),0)+IFERROR(IF(AND(AF242&gt;0,(TODAY()-AF242)&lt;36*365.25/12),2400/((TODAY()-AF242)/30.44/6+1),0),0)+IFERROR(IF(AND(AG242&gt;0,(TODAY()-AG242)&lt;36*365.25/12),2400/((TODAY()-AG242)/30.44/6+1),0),0),0)</f>
        <v>0</v>
      </c>
      <c r="AB242" s="4" t="n">
        <f aca="false">COUNTA(AC242:AG242)</f>
        <v>0</v>
      </c>
      <c r="AY242" s="1" t="n">
        <v>242</v>
      </c>
    </row>
    <row r="243" customFormat="false" ht="15" hidden="false" customHeight="true" outlineLevel="0" collapsed="false">
      <c r="B243" s="1" t="n">
        <v>243</v>
      </c>
      <c r="L243" s="4" t="n">
        <f aca="true">YEAR(TODAY())-H243</f>
        <v>2026</v>
      </c>
      <c r="N243" s="4" t="n">
        <f aca="true">O243+IF(AT243=1,480,0)+AA243+IF(K243="M",IF(AH243&gt;0,IF((TODAY()-AH243)/30.44&lt;6,2400,IF((TODAY()-AH243)/30.44&lt;12,1200,0)),0),0)+IF(AP243&gt;0,AP243,0)-R243-T243-S243-U243</f>
        <v>450</v>
      </c>
      <c r="O243" s="4" t="n">
        <f aca="true">IF(X243=1,1200,IF(YEAR(TODAY())-H243&lt;18,0,IF(YEAR(TODAY())-H243&lt;65,300,450)))</f>
        <v>450</v>
      </c>
      <c r="R243" s="4" t="n">
        <f aca="false">IF(MIN(AM243+IF(ISNUMBER(AN243),AN243,0),16000)&gt;=600,(MIN(AM243+IF(ISNUMBER(AN243),AN243,0),16000)-600)^0.8/10000*MIN(AM243+IF(ISNUMBER(AN243),AN243,0),16000),0)</f>
        <v>0</v>
      </c>
      <c r="S243" s="4" t="n">
        <f aca="false">IF(AB243=0,0,IF(AB243=1,30,IF(AB243=2,60,IF(AB243=3,120,IF(AB243=4,180,240)))))</f>
        <v>0</v>
      </c>
      <c r="T243" s="4" t="n">
        <f aca="false">IF(Y243&gt;0,Y243*600/MAX(1,Z243),0)</f>
        <v>0</v>
      </c>
      <c r="U243" s="4" t="n">
        <f aca="false">IF(AW243&gt;0,AW243*1000000*MAX(0,MIN(22,1+LOG10(AW243)))/100/12,0)</f>
        <v>0</v>
      </c>
      <c r="AA243" s="4" t="n">
        <f aca="true">IF(K243="W",IFERROR(IF(AND(AC243&gt;0,(TODAY()-AC243)&lt;36*365.25/12),2400/((TODAY()-AC243)/30.44/6+1),0),0)+IFERROR(IF(AND(AD243&gt;0,(TODAY()-AD243)&lt;36*365.25/12),2400/((TODAY()-AD243)/30.44/6+1),0),0)+IFERROR(IF(AND(AE243&gt;0,(TODAY()-AE243)&lt;36*365.25/12),2400/((TODAY()-AE243)/30.44/6+1),0),0)+IFERROR(IF(AND(AF243&gt;0,(TODAY()-AF243)&lt;36*365.25/12),2400/((TODAY()-AF243)/30.44/6+1),0),0)+IFERROR(IF(AND(AG243&gt;0,(TODAY()-AG243)&lt;36*365.25/12),2400/((TODAY()-AG243)/30.44/6+1),0),0),0)</f>
        <v>0</v>
      </c>
      <c r="AB243" s="4" t="n">
        <f aca="false">COUNTA(AC243:AG243)</f>
        <v>0</v>
      </c>
      <c r="AY243" s="1" t="n">
        <v>243</v>
      </c>
    </row>
    <row r="244" customFormat="false" ht="15" hidden="false" customHeight="true" outlineLevel="0" collapsed="false">
      <c r="B244" s="1" t="n">
        <v>244</v>
      </c>
      <c r="L244" s="4" t="n">
        <f aca="true">YEAR(TODAY())-H244</f>
        <v>2026</v>
      </c>
      <c r="N244" s="4" t="n">
        <f aca="true">O244+IF(AT244=1,480,0)+AA244+IF(K244="M",IF(AH244&gt;0,IF((TODAY()-AH244)/30.44&lt;6,2400,IF((TODAY()-AH244)/30.44&lt;12,1200,0)),0),0)+IF(AP244&gt;0,AP244,0)-R244-T244-S244-U244</f>
        <v>450</v>
      </c>
      <c r="O244" s="4" t="n">
        <f aca="true">IF(X244=1,1200,IF(YEAR(TODAY())-H244&lt;18,0,IF(YEAR(TODAY())-H244&lt;65,300,450)))</f>
        <v>450</v>
      </c>
      <c r="R244" s="4" t="n">
        <f aca="false">IF(MIN(AM244+IF(ISNUMBER(AN244),AN244,0),16000)&gt;=600,(MIN(AM244+IF(ISNUMBER(AN244),AN244,0),16000)-600)^0.8/10000*MIN(AM244+IF(ISNUMBER(AN244),AN244,0),16000),0)</f>
        <v>0</v>
      </c>
      <c r="S244" s="4" t="n">
        <f aca="false">IF(AB244=0,0,IF(AB244=1,30,IF(AB244=2,60,IF(AB244=3,120,IF(AB244=4,180,240)))))</f>
        <v>0</v>
      </c>
      <c r="T244" s="4" t="n">
        <f aca="false">IF(Y244&gt;0,Y244*600/MAX(1,Z244),0)</f>
        <v>0</v>
      </c>
      <c r="U244" s="4" t="n">
        <f aca="false">IF(AW244&gt;0,AW244*1000000*MAX(0,MIN(22,1+LOG10(AW244)))/100/12,0)</f>
        <v>0</v>
      </c>
      <c r="AA244" s="4" t="n">
        <f aca="true">IF(K244="W",IFERROR(IF(AND(AC244&gt;0,(TODAY()-AC244)&lt;36*365.25/12),2400/((TODAY()-AC244)/30.44/6+1),0),0)+IFERROR(IF(AND(AD244&gt;0,(TODAY()-AD244)&lt;36*365.25/12),2400/((TODAY()-AD244)/30.44/6+1),0),0)+IFERROR(IF(AND(AE244&gt;0,(TODAY()-AE244)&lt;36*365.25/12),2400/((TODAY()-AE244)/30.44/6+1),0),0)+IFERROR(IF(AND(AF244&gt;0,(TODAY()-AF244)&lt;36*365.25/12),2400/((TODAY()-AF244)/30.44/6+1),0),0)+IFERROR(IF(AND(AG244&gt;0,(TODAY()-AG244)&lt;36*365.25/12),2400/((TODAY()-AG244)/30.44/6+1),0),0),0)</f>
        <v>0</v>
      </c>
      <c r="AB244" s="4" t="n">
        <f aca="false">COUNTA(AC244:AG244)</f>
        <v>0</v>
      </c>
      <c r="AY244" s="1" t="n">
        <v>244</v>
      </c>
    </row>
    <row r="245" customFormat="false" ht="15" hidden="false" customHeight="true" outlineLevel="0" collapsed="false">
      <c r="B245" s="1" t="n">
        <v>245</v>
      </c>
      <c r="L245" s="4" t="n">
        <f aca="true">YEAR(TODAY())-H245</f>
        <v>2026</v>
      </c>
      <c r="N245" s="4" t="n">
        <f aca="true">O245+IF(AT245=1,480,0)+AA245+IF(K245="M",IF(AH245&gt;0,IF((TODAY()-AH245)/30.44&lt;6,2400,IF((TODAY()-AH245)/30.44&lt;12,1200,0)),0),0)+IF(AP245&gt;0,AP245,0)-R245-T245-S245-U245</f>
        <v>450</v>
      </c>
      <c r="O245" s="4" t="n">
        <f aca="true">IF(X245=1,1200,IF(YEAR(TODAY())-H245&lt;18,0,IF(YEAR(TODAY())-H245&lt;65,300,450)))</f>
        <v>450</v>
      </c>
      <c r="R245" s="4" t="n">
        <f aca="false">IF(MIN(AM245+IF(ISNUMBER(AN245),AN245,0),16000)&gt;=600,(MIN(AM245+IF(ISNUMBER(AN245),AN245,0),16000)-600)^0.8/10000*MIN(AM245+IF(ISNUMBER(AN245),AN245,0),16000),0)</f>
        <v>0</v>
      </c>
      <c r="S245" s="4" t="n">
        <f aca="false">IF(AB245=0,0,IF(AB245=1,30,IF(AB245=2,60,IF(AB245=3,120,IF(AB245=4,180,240)))))</f>
        <v>0</v>
      </c>
      <c r="T245" s="4" t="n">
        <f aca="false">IF(Y245&gt;0,Y245*600/MAX(1,Z245),0)</f>
        <v>0</v>
      </c>
      <c r="U245" s="4" t="n">
        <f aca="false">IF(AW245&gt;0,AW245*1000000*MAX(0,MIN(22,1+LOG10(AW245)))/100/12,0)</f>
        <v>0</v>
      </c>
      <c r="AA245" s="4" t="n">
        <f aca="true">IF(K245="W",IFERROR(IF(AND(AC245&gt;0,(TODAY()-AC245)&lt;36*365.25/12),2400/((TODAY()-AC245)/30.44/6+1),0),0)+IFERROR(IF(AND(AD245&gt;0,(TODAY()-AD245)&lt;36*365.25/12),2400/((TODAY()-AD245)/30.44/6+1),0),0)+IFERROR(IF(AND(AE245&gt;0,(TODAY()-AE245)&lt;36*365.25/12),2400/((TODAY()-AE245)/30.44/6+1),0),0)+IFERROR(IF(AND(AF245&gt;0,(TODAY()-AF245)&lt;36*365.25/12),2400/((TODAY()-AF245)/30.44/6+1),0),0)+IFERROR(IF(AND(AG245&gt;0,(TODAY()-AG245)&lt;36*365.25/12),2400/((TODAY()-AG245)/30.44/6+1),0),0),0)</f>
        <v>0</v>
      </c>
      <c r="AB245" s="4" t="n">
        <f aca="false">COUNTA(AC245:AG245)</f>
        <v>0</v>
      </c>
      <c r="AY245" s="1" t="n">
        <v>245</v>
      </c>
    </row>
    <row r="246" customFormat="false" ht="15" hidden="false" customHeight="true" outlineLevel="0" collapsed="false">
      <c r="B246" s="1" t="n">
        <v>246</v>
      </c>
      <c r="L246" s="4" t="n">
        <f aca="true">YEAR(TODAY())-H246</f>
        <v>2026</v>
      </c>
      <c r="N246" s="4" t="n">
        <f aca="true">O246+IF(AT246=1,480,0)+AA246+IF(K246="M",IF(AH246&gt;0,IF((TODAY()-AH246)/30.44&lt;6,2400,IF((TODAY()-AH246)/30.44&lt;12,1200,0)),0),0)+IF(AP246&gt;0,AP246,0)-R246-T246-S246-U246</f>
        <v>450</v>
      </c>
      <c r="O246" s="4" t="n">
        <f aca="true">IF(X246=1,1200,IF(YEAR(TODAY())-H246&lt;18,0,IF(YEAR(TODAY())-H246&lt;65,300,450)))</f>
        <v>450</v>
      </c>
      <c r="R246" s="4" t="n">
        <f aca="false">IF(MIN(AM246+IF(ISNUMBER(AN246),AN246,0),16000)&gt;=600,(MIN(AM246+IF(ISNUMBER(AN246),AN246,0),16000)-600)^0.8/10000*MIN(AM246+IF(ISNUMBER(AN246),AN246,0),16000),0)</f>
        <v>0</v>
      </c>
      <c r="S246" s="4" t="n">
        <f aca="false">IF(AB246=0,0,IF(AB246=1,30,IF(AB246=2,60,IF(AB246=3,120,IF(AB246=4,180,240)))))</f>
        <v>0</v>
      </c>
      <c r="T246" s="4" t="n">
        <f aca="false">IF(Y246&gt;0,Y246*600/MAX(1,Z246),0)</f>
        <v>0</v>
      </c>
      <c r="U246" s="4" t="n">
        <f aca="false">IF(AW246&gt;0,AW246*1000000*MAX(0,MIN(22,1+LOG10(AW246)))/100/12,0)</f>
        <v>0</v>
      </c>
      <c r="AA246" s="4" t="n">
        <f aca="true">IF(K246="W",IFERROR(IF(AND(AC246&gt;0,(TODAY()-AC246)&lt;36*365.25/12),2400/((TODAY()-AC246)/30.44/6+1),0),0)+IFERROR(IF(AND(AD246&gt;0,(TODAY()-AD246)&lt;36*365.25/12),2400/((TODAY()-AD246)/30.44/6+1),0),0)+IFERROR(IF(AND(AE246&gt;0,(TODAY()-AE246)&lt;36*365.25/12),2400/((TODAY()-AE246)/30.44/6+1),0),0)+IFERROR(IF(AND(AF246&gt;0,(TODAY()-AF246)&lt;36*365.25/12),2400/((TODAY()-AF246)/30.44/6+1),0),0)+IFERROR(IF(AND(AG246&gt;0,(TODAY()-AG246)&lt;36*365.25/12),2400/((TODAY()-AG246)/30.44/6+1),0),0),0)</f>
        <v>0</v>
      </c>
      <c r="AB246" s="4" t="n">
        <f aca="false">COUNTA(AC246:AG246)</f>
        <v>0</v>
      </c>
      <c r="AY246" s="1" t="n">
        <v>246</v>
      </c>
    </row>
    <row r="247" customFormat="false" ht="15" hidden="false" customHeight="true" outlineLevel="0" collapsed="false">
      <c r="B247" s="1" t="n">
        <v>247</v>
      </c>
      <c r="L247" s="4" t="n">
        <f aca="true">YEAR(TODAY())-H247</f>
        <v>2026</v>
      </c>
      <c r="N247" s="4" t="n">
        <f aca="true">O247+IF(AT247=1,480,0)+AA247+IF(K247="M",IF(AH247&gt;0,IF((TODAY()-AH247)/30.44&lt;6,2400,IF((TODAY()-AH247)/30.44&lt;12,1200,0)),0),0)+IF(AP247&gt;0,AP247,0)-R247-T247-S247-U247</f>
        <v>450</v>
      </c>
      <c r="O247" s="4" t="n">
        <f aca="true">IF(X247=1,1200,IF(YEAR(TODAY())-H247&lt;18,0,IF(YEAR(TODAY())-H247&lt;65,300,450)))</f>
        <v>450</v>
      </c>
      <c r="R247" s="4" t="n">
        <f aca="false">IF(MIN(AM247+IF(ISNUMBER(AN247),AN247,0),16000)&gt;=600,(MIN(AM247+IF(ISNUMBER(AN247),AN247,0),16000)-600)^0.8/10000*MIN(AM247+IF(ISNUMBER(AN247),AN247,0),16000),0)</f>
        <v>0</v>
      </c>
      <c r="S247" s="4" t="n">
        <f aca="false">IF(AB247=0,0,IF(AB247=1,30,IF(AB247=2,60,IF(AB247=3,120,IF(AB247=4,180,240)))))</f>
        <v>0</v>
      </c>
      <c r="T247" s="4" t="n">
        <f aca="false">IF(Y247&gt;0,Y247*600/MAX(1,Z247),0)</f>
        <v>0</v>
      </c>
      <c r="U247" s="4" t="n">
        <f aca="false">IF(AW247&gt;0,AW247*1000000*MAX(0,MIN(22,1+LOG10(AW247)))/100/12,0)</f>
        <v>0</v>
      </c>
      <c r="AA247" s="4" t="n">
        <f aca="true">IF(K247="W",IFERROR(IF(AND(AC247&gt;0,(TODAY()-AC247)&lt;36*365.25/12),2400/((TODAY()-AC247)/30.44/6+1),0),0)+IFERROR(IF(AND(AD247&gt;0,(TODAY()-AD247)&lt;36*365.25/12),2400/((TODAY()-AD247)/30.44/6+1),0),0)+IFERROR(IF(AND(AE247&gt;0,(TODAY()-AE247)&lt;36*365.25/12),2400/((TODAY()-AE247)/30.44/6+1),0),0)+IFERROR(IF(AND(AF247&gt;0,(TODAY()-AF247)&lt;36*365.25/12),2400/((TODAY()-AF247)/30.44/6+1),0),0)+IFERROR(IF(AND(AG247&gt;0,(TODAY()-AG247)&lt;36*365.25/12),2400/((TODAY()-AG247)/30.44/6+1),0),0),0)</f>
        <v>0</v>
      </c>
      <c r="AB247" s="4" t="n">
        <f aca="false">COUNTA(AC247:AG247)</f>
        <v>0</v>
      </c>
      <c r="AY247" s="1" t="n">
        <v>247</v>
      </c>
    </row>
    <row r="248" customFormat="false" ht="15" hidden="false" customHeight="true" outlineLevel="0" collapsed="false">
      <c r="B248" s="1" t="n">
        <v>248</v>
      </c>
      <c r="L248" s="4" t="n">
        <f aca="true">YEAR(TODAY())-H248</f>
        <v>2026</v>
      </c>
      <c r="N248" s="4" t="n">
        <f aca="true">O248+IF(AT248=1,480,0)+AA248+IF(K248="M",IF(AH248&gt;0,IF((TODAY()-AH248)/30.44&lt;6,2400,IF((TODAY()-AH248)/30.44&lt;12,1200,0)),0),0)+IF(AP248&gt;0,AP248,0)-R248-T248-S248-U248</f>
        <v>450</v>
      </c>
      <c r="O248" s="4" t="n">
        <f aca="true">IF(X248=1,1200,IF(YEAR(TODAY())-H248&lt;18,0,IF(YEAR(TODAY())-H248&lt;65,300,450)))</f>
        <v>450</v>
      </c>
      <c r="R248" s="4" t="n">
        <f aca="false">IF(MIN(AM248+IF(ISNUMBER(AN248),AN248,0),16000)&gt;=600,(MIN(AM248+IF(ISNUMBER(AN248),AN248,0),16000)-600)^0.8/10000*MIN(AM248+IF(ISNUMBER(AN248),AN248,0),16000),0)</f>
        <v>0</v>
      </c>
      <c r="S248" s="4" t="n">
        <f aca="false">IF(AB248=0,0,IF(AB248=1,30,IF(AB248=2,60,IF(AB248=3,120,IF(AB248=4,180,240)))))</f>
        <v>0</v>
      </c>
      <c r="T248" s="4" t="n">
        <f aca="false">IF(Y248&gt;0,Y248*600/MAX(1,Z248),0)</f>
        <v>0</v>
      </c>
      <c r="U248" s="4" t="n">
        <f aca="false">IF(AW248&gt;0,AW248*1000000*MAX(0,MIN(22,1+LOG10(AW248)))/100/12,0)</f>
        <v>0</v>
      </c>
      <c r="AA248" s="4" t="n">
        <f aca="true">IF(K248="W",IFERROR(IF(AND(AC248&gt;0,(TODAY()-AC248)&lt;36*365.25/12),2400/((TODAY()-AC248)/30.44/6+1),0),0)+IFERROR(IF(AND(AD248&gt;0,(TODAY()-AD248)&lt;36*365.25/12),2400/((TODAY()-AD248)/30.44/6+1),0),0)+IFERROR(IF(AND(AE248&gt;0,(TODAY()-AE248)&lt;36*365.25/12),2400/((TODAY()-AE248)/30.44/6+1),0),0)+IFERROR(IF(AND(AF248&gt;0,(TODAY()-AF248)&lt;36*365.25/12),2400/((TODAY()-AF248)/30.44/6+1),0),0)+IFERROR(IF(AND(AG248&gt;0,(TODAY()-AG248)&lt;36*365.25/12),2400/((TODAY()-AG248)/30.44/6+1),0),0),0)</f>
        <v>0</v>
      </c>
      <c r="AB248" s="4" t="n">
        <f aca="false">COUNTA(AC248:AG248)</f>
        <v>0</v>
      </c>
      <c r="AY248" s="1" t="n">
        <v>248</v>
      </c>
    </row>
    <row r="249" customFormat="false" ht="15" hidden="false" customHeight="true" outlineLevel="0" collapsed="false">
      <c r="B249" s="1" t="n">
        <v>249</v>
      </c>
      <c r="L249" s="4" t="n">
        <f aca="true">YEAR(TODAY())-H249</f>
        <v>2026</v>
      </c>
      <c r="N249" s="4" t="n">
        <f aca="true">O249+IF(AT249=1,480,0)+AA249+IF(K249="M",IF(AH249&gt;0,IF((TODAY()-AH249)/30.44&lt;6,2400,IF((TODAY()-AH249)/30.44&lt;12,1200,0)),0),0)+IF(AP249&gt;0,AP249,0)-R249-T249-S249-U249</f>
        <v>450</v>
      </c>
      <c r="O249" s="4" t="n">
        <f aca="true">IF(X249=1,1200,IF(YEAR(TODAY())-H249&lt;18,0,IF(YEAR(TODAY())-H249&lt;65,300,450)))</f>
        <v>450</v>
      </c>
      <c r="R249" s="4" t="n">
        <f aca="false">IF(MIN(AM249+IF(ISNUMBER(AN249),AN249,0),16000)&gt;=600,(MIN(AM249+IF(ISNUMBER(AN249),AN249,0),16000)-600)^0.8/10000*MIN(AM249+IF(ISNUMBER(AN249),AN249,0),16000),0)</f>
        <v>0</v>
      </c>
      <c r="S249" s="4" t="n">
        <f aca="false">IF(AB249=0,0,IF(AB249=1,30,IF(AB249=2,60,IF(AB249=3,120,IF(AB249=4,180,240)))))</f>
        <v>0</v>
      </c>
      <c r="T249" s="4" t="n">
        <f aca="false">IF(Y249&gt;0,Y249*600/MAX(1,Z249),0)</f>
        <v>0</v>
      </c>
      <c r="U249" s="4" t="n">
        <f aca="false">IF(AW249&gt;0,AW249*1000000*MAX(0,MIN(22,1+LOG10(AW249)))/100/12,0)</f>
        <v>0</v>
      </c>
      <c r="AA249" s="4" t="n">
        <f aca="true">IF(K249="W",IFERROR(IF(AND(AC249&gt;0,(TODAY()-AC249)&lt;36*365.25/12),2400/((TODAY()-AC249)/30.44/6+1),0),0)+IFERROR(IF(AND(AD249&gt;0,(TODAY()-AD249)&lt;36*365.25/12),2400/((TODAY()-AD249)/30.44/6+1),0),0)+IFERROR(IF(AND(AE249&gt;0,(TODAY()-AE249)&lt;36*365.25/12),2400/((TODAY()-AE249)/30.44/6+1),0),0)+IFERROR(IF(AND(AF249&gt;0,(TODAY()-AF249)&lt;36*365.25/12),2400/((TODAY()-AF249)/30.44/6+1),0),0)+IFERROR(IF(AND(AG249&gt;0,(TODAY()-AG249)&lt;36*365.25/12),2400/((TODAY()-AG249)/30.44/6+1),0),0),0)</f>
        <v>0</v>
      </c>
      <c r="AB249" s="4" t="n">
        <f aca="false">COUNTA(AC249:AG249)</f>
        <v>0</v>
      </c>
      <c r="AY249" s="1" t="n">
        <v>249</v>
      </c>
    </row>
    <row r="250" customFormat="false" ht="15" hidden="false" customHeight="true" outlineLevel="0" collapsed="false">
      <c r="B250" s="1" t="s">
        <v>1</v>
      </c>
      <c r="E250" s="1" t="s">
        <v>4</v>
      </c>
      <c r="F250" s="1" t="s">
        <v>5</v>
      </c>
      <c r="G250" s="1" t="s">
        <v>6</v>
      </c>
      <c r="H250" s="1" t="s">
        <v>7</v>
      </c>
      <c r="I250" s="1" t="s">
        <v>8</v>
      </c>
      <c r="J250" s="1" t="s">
        <v>9</v>
      </c>
      <c r="K250" s="1" t="s">
        <v>10</v>
      </c>
      <c r="L250" s="1" t="s">
        <v>11</v>
      </c>
      <c r="M250" s="1" t="s">
        <v>12</v>
      </c>
      <c r="N250" s="1" t="s">
        <v>13</v>
      </c>
      <c r="O250" s="1" t="s">
        <v>14</v>
      </c>
      <c r="P250" s="1" t="s">
        <v>15</v>
      </c>
      <c r="Q250" s="1" t="s">
        <v>16</v>
      </c>
      <c r="R250" s="1" t="s">
        <v>17</v>
      </c>
      <c r="S250" s="1" t="s">
        <v>18</v>
      </c>
      <c r="T250" s="1" t="s">
        <v>19</v>
      </c>
      <c r="U250" s="1" t="s">
        <v>20</v>
      </c>
      <c r="V250" s="1" t="s">
        <v>21</v>
      </c>
      <c r="W250" s="1" t="s">
        <v>22</v>
      </c>
      <c r="X250" s="1" t="s">
        <v>23</v>
      </c>
      <c r="Y250" s="1" t="s">
        <v>19</v>
      </c>
      <c r="Z250" s="1" t="s">
        <v>24</v>
      </c>
      <c r="AA250" s="1" t="s">
        <v>25</v>
      </c>
      <c r="AB250" s="1" t="s">
        <v>26</v>
      </c>
      <c r="AC250" s="1" t="s">
        <v>27</v>
      </c>
      <c r="AD250" s="1" t="s">
        <v>28</v>
      </c>
      <c r="AE250" s="1" t="s">
        <v>29</v>
      </c>
      <c r="AF250" s="1" t="s">
        <v>30</v>
      </c>
      <c r="AG250" s="1" t="s">
        <v>31</v>
      </c>
      <c r="AH250" s="1" t="s">
        <v>32</v>
      </c>
      <c r="AI250" s="1" t="s">
        <v>33</v>
      </c>
      <c r="AJ250" s="1" t="s">
        <v>34</v>
      </c>
      <c r="AK250" s="1" t="s">
        <v>35</v>
      </c>
      <c r="AL250" s="1" t="s">
        <v>17</v>
      </c>
      <c r="AM250" s="1" t="s">
        <v>36</v>
      </c>
      <c r="AN250" s="1" t="s">
        <v>37</v>
      </c>
      <c r="AO250" s="1" t="s">
        <v>38</v>
      </c>
      <c r="AS250" s="1" t="s">
        <v>41</v>
      </c>
      <c r="AT250" s="1" t="s">
        <v>42</v>
      </c>
      <c r="AU250" s="1" t="s">
        <v>43</v>
      </c>
      <c r="AV250" s="1" t="s">
        <v>44</v>
      </c>
      <c r="AW250" s="1" t="s">
        <v>45</v>
      </c>
      <c r="AX250" s="1" t="s">
        <v>46</v>
      </c>
      <c r="AY250" s="1" t="s">
        <v>1</v>
      </c>
      <c r="AZ250" s="1" t="s">
        <v>12</v>
      </c>
    </row>
    <row r="251" customFormat="false" ht="15" hidden="false" customHeight="true" outlineLevel="0" collapsed="false">
      <c r="B251" s="1" t="n">
        <v>251</v>
      </c>
      <c r="L251" s="4" t="n">
        <f aca="true">YEAR(TODAY())-H251</f>
        <v>2026</v>
      </c>
      <c r="N251" s="4" t="n">
        <f aca="true">O251+IF(AT251=1,480,0)+AA251+IF(K251="M",IF(AH251&gt;0,IF((TODAY()-AH251)/30.44&lt;6,2400,IF((TODAY()-AH251)/30.44&lt;12,1200,0)),0),0)+IF(AP251&gt;0,AP251,0)-R251-T251-S251-U251</f>
        <v>450</v>
      </c>
      <c r="O251" s="4" t="n">
        <f aca="true">IF(X251=1,1200,IF(YEAR(TODAY())-H251&lt;18,0,IF(YEAR(TODAY())-H251&lt;65,300,450)))</f>
        <v>450</v>
      </c>
      <c r="R251" s="4" t="n">
        <f aca="false">IF(MIN(AM251+IF(ISNUMBER(AN251),AN251,0),16000)&gt;=600,(MIN(AM251+IF(ISNUMBER(AN251),AN251,0),16000)-600)^0.8/10000*MIN(AM251+IF(ISNUMBER(AN251),AN251,0),16000),0)</f>
        <v>0</v>
      </c>
      <c r="S251" s="4" t="n">
        <f aca="false">IF(AB251=0,0,IF(AB251=1,30,IF(AB251=2,60,IF(AB251=3,120,IF(AB251=4,180,240)))))</f>
        <v>0</v>
      </c>
      <c r="T251" s="4" t="n">
        <f aca="false">IF(Y251&gt;0,Y251*600/MAX(1,Z251),0)</f>
        <v>0</v>
      </c>
      <c r="U251" s="4" t="n">
        <f aca="false">IF(AW251&gt;0,AW251*1000000*MAX(0,MIN(22,1+LOG10(AW251)))/100/12,0)</f>
        <v>0</v>
      </c>
      <c r="AA251" s="4" t="n">
        <f aca="true">IF(K251="W",IFERROR(IF(AND(AC251&gt;0,(TODAY()-AC251)&lt;36*365.25/12),2400/((TODAY()-AC251)/30.44/6+1),0),0)+IFERROR(IF(AND(AD251&gt;0,(TODAY()-AD251)&lt;36*365.25/12),2400/((TODAY()-AD251)/30.44/6+1),0),0)+IFERROR(IF(AND(AE251&gt;0,(TODAY()-AE251)&lt;36*365.25/12),2400/((TODAY()-AE251)/30.44/6+1),0),0)+IFERROR(IF(AND(AF251&gt;0,(TODAY()-AF251)&lt;36*365.25/12),2400/((TODAY()-AF251)/30.44/6+1),0),0)+IFERROR(IF(AND(AG251&gt;0,(TODAY()-AG251)&lt;36*365.25/12),2400/((TODAY()-AG251)/30.44/6+1),0),0),0)</f>
        <v>0</v>
      </c>
      <c r="AB251" s="4" t="n">
        <f aca="false">COUNTA(AC251:AG251)</f>
        <v>0</v>
      </c>
      <c r="AY251" s="1" t="n">
        <v>251</v>
      </c>
    </row>
    <row r="252" customFormat="false" ht="15" hidden="false" customHeight="true" outlineLevel="0" collapsed="false">
      <c r="B252" s="1" t="n">
        <v>252</v>
      </c>
      <c r="L252" s="4" t="n">
        <f aca="true">YEAR(TODAY())-H252</f>
        <v>2026</v>
      </c>
      <c r="N252" s="4" t="n">
        <f aca="true">O252+IF(AT252=1,480,0)+AA252+IF(K252="M",IF(AH252&gt;0,IF((TODAY()-AH252)/30.44&lt;6,2400,IF((TODAY()-AH252)/30.44&lt;12,1200,0)),0),0)+IF(AP252&gt;0,AP252,0)-R252-T252-S252-U252</f>
        <v>450</v>
      </c>
      <c r="O252" s="4" t="n">
        <f aca="true">IF(X252=1,1200,IF(YEAR(TODAY())-H252&lt;18,0,IF(YEAR(TODAY())-H252&lt;65,300,450)))</f>
        <v>450</v>
      </c>
      <c r="R252" s="4" t="n">
        <f aca="false">IF(MIN(AM252+IF(ISNUMBER(AN252),AN252,0),16000)&gt;=600,(MIN(AM252+IF(ISNUMBER(AN252),AN252,0),16000)-600)^0.8/10000*MIN(AM252+IF(ISNUMBER(AN252),AN252,0),16000),0)</f>
        <v>0</v>
      </c>
      <c r="S252" s="4" t="n">
        <f aca="false">IF(AB252=0,0,IF(AB252=1,30,IF(AB252=2,60,IF(AB252=3,120,IF(AB252=4,180,240)))))</f>
        <v>0</v>
      </c>
      <c r="T252" s="4" t="n">
        <f aca="false">IF(Y252&gt;0,Y252*600/MAX(1,Z252),0)</f>
        <v>0</v>
      </c>
      <c r="U252" s="4" t="n">
        <f aca="false">IF(AW252&gt;0,AW252*1000000*MAX(0,MIN(22,1+LOG10(AW252)))/100/12,0)</f>
        <v>0</v>
      </c>
      <c r="AA252" s="4" t="n">
        <f aca="true">IF(K252="W",IFERROR(IF(AND(AC252&gt;0,(TODAY()-AC252)&lt;36*365.25/12),2400/((TODAY()-AC252)/30.44/6+1),0),0)+IFERROR(IF(AND(AD252&gt;0,(TODAY()-AD252)&lt;36*365.25/12),2400/((TODAY()-AD252)/30.44/6+1),0),0)+IFERROR(IF(AND(AE252&gt;0,(TODAY()-AE252)&lt;36*365.25/12),2400/((TODAY()-AE252)/30.44/6+1),0),0)+IFERROR(IF(AND(AF252&gt;0,(TODAY()-AF252)&lt;36*365.25/12),2400/((TODAY()-AF252)/30.44/6+1),0),0)+IFERROR(IF(AND(AG252&gt;0,(TODAY()-AG252)&lt;36*365.25/12),2400/((TODAY()-AG252)/30.44/6+1),0),0),0)</f>
        <v>0</v>
      </c>
      <c r="AB252" s="4" t="n">
        <f aca="false">COUNTA(AC252:AG252)</f>
        <v>0</v>
      </c>
      <c r="AY252" s="1" t="n">
        <v>252</v>
      </c>
    </row>
    <row r="253" customFormat="false" ht="15" hidden="false" customHeight="true" outlineLevel="0" collapsed="false">
      <c r="B253" s="1" t="n">
        <v>253</v>
      </c>
      <c r="L253" s="4" t="n">
        <f aca="true">YEAR(TODAY())-H253</f>
        <v>2026</v>
      </c>
      <c r="N253" s="4" t="n">
        <f aca="true">O253+IF(AT253=1,480,0)+AA253+IF(K253="M",IF(AH253&gt;0,IF((TODAY()-AH253)/30.44&lt;6,2400,IF((TODAY()-AH253)/30.44&lt;12,1200,0)),0),0)+IF(AP253&gt;0,AP253,0)-R253-T253-S253-U253</f>
        <v>450</v>
      </c>
      <c r="O253" s="4" t="n">
        <f aca="true">IF(X253=1,1200,IF(YEAR(TODAY())-H253&lt;18,0,IF(YEAR(TODAY())-H253&lt;65,300,450)))</f>
        <v>450</v>
      </c>
      <c r="R253" s="4" t="n">
        <f aca="false">IF(MIN(AM253+IF(ISNUMBER(AN253),AN253,0),16000)&gt;=600,(MIN(AM253+IF(ISNUMBER(AN253),AN253,0),16000)-600)^0.8/10000*MIN(AM253+IF(ISNUMBER(AN253),AN253,0),16000),0)</f>
        <v>0</v>
      </c>
      <c r="S253" s="4" t="n">
        <f aca="false">IF(AB253=0,0,IF(AB253=1,30,IF(AB253=2,60,IF(AB253=3,120,IF(AB253=4,180,240)))))</f>
        <v>0</v>
      </c>
      <c r="T253" s="4" t="n">
        <f aca="false">IF(Y253&gt;0,Y253*600/MAX(1,Z253),0)</f>
        <v>0</v>
      </c>
      <c r="U253" s="4" t="n">
        <f aca="false">IF(AW253&gt;0,AW253*1000000*MAX(0,MIN(22,1+LOG10(AW253)))/100/12,0)</f>
        <v>0</v>
      </c>
      <c r="AA253" s="4" t="n">
        <f aca="true">IF(K253="W",IFERROR(IF(AND(AC253&gt;0,(TODAY()-AC253)&lt;36*365.25/12),2400/((TODAY()-AC253)/30.44/6+1),0),0)+IFERROR(IF(AND(AD253&gt;0,(TODAY()-AD253)&lt;36*365.25/12),2400/((TODAY()-AD253)/30.44/6+1),0),0)+IFERROR(IF(AND(AE253&gt;0,(TODAY()-AE253)&lt;36*365.25/12),2400/((TODAY()-AE253)/30.44/6+1),0),0)+IFERROR(IF(AND(AF253&gt;0,(TODAY()-AF253)&lt;36*365.25/12),2400/((TODAY()-AF253)/30.44/6+1),0),0)+IFERROR(IF(AND(AG253&gt;0,(TODAY()-AG253)&lt;36*365.25/12),2400/((TODAY()-AG253)/30.44/6+1),0),0),0)</f>
        <v>0</v>
      </c>
      <c r="AB253" s="4" t="n">
        <f aca="false">COUNTA(AC253:AG253)</f>
        <v>0</v>
      </c>
      <c r="AY253" s="1" t="n">
        <v>253</v>
      </c>
    </row>
    <row r="254" customFormat="false" ht="15" hidden="false" customHeight="true" outlineLevel="0" collapsed="false">
      <c r="B254" s="1" t="n">
        <v>254</v>
      </c>
      <c r="L254" s="4" t="n">
        <f aca="true">YEAR(TODAY())-H254</f>
        <v>2026</v>
      </c>
      <c r="N254" s="4" t="n">
        <f aca="true">O254+IF(AT254=1,480,0)+AA254+IF(K254="M",IF(AH254&gt;0,IF((TODAY()-AH254)/30.44&lt;6,2400,IF((TODAY()-AH254)/30.44&lt;12,1200,0)),0),0)+IF(AP254&gt;0,AP254,0)-R254-T254-S254-U254</f>
        <v>450</v>
      </c>
      <c r="O254" s="4" t="n">
        <f aca="true">IF(X254=1,1200,IF(YEAR(TODAY())-H254&lt;18,0,IF(YEAR(TODAY())-H254&lt;65,300,450)))</f>
        <v>450</v>
      </c>
      <c r="R254" s="4" t="n">
        <f aca="false">IF(MIN(AM254+IF(ISNUMBER(AN254),AN254,0),16000)&gt;=600,(MIN(AM254+IF(ISNUMBER(AN254),AN254,0),16000)-600)^0.8/10000*MIN(AM254+IF(ISNUMBER(AN254),AN254,0),16000),0)</f>
        <v>0</v>
      </c>
      <c r="S254" s="4" t="n">
        <f aca="false">IF(AB254=0,0,IF(AB254=1,30,IF(AB254=2,60,IF(AB254=3,120,IF(AB254=4,180,240)))))</f>
        <v>0</v>
      </c>
      <c r="T254" s="4" t="n">
        <f aca="false">IF(Y254&gt;0,Y254*600/MAX(1,Z254),0)</f>
        <v>0</v>
      </c>
      <c r="U254" s="4" t="n">
        <f aca="false">IF(AW254&gt;0,AW254*1000000*MAX(0,MIN(22,1+LOG10(AW254)))/100/12,0)</f>
        <v>0</v>
      </c>
      <c r="AA254" s="4" t="n">
        <f aca="true">IF(K254="W",IFERROR(IF(AND(AC254&gt;0,(TODAY()-AC254)&lt;36*365.25/12),2400/((TODAY()-AC254)/30.44/6+1),0),0)+IFERROR(IF(AND(AD254&gt;0,(TODAY()-AD254)&lt;36*365.25/12),2400/((TODAY()-AD254)/30.44/6+1),0),0)+IFERROR(IF(AND(AE254&gt;0,(TODAY()-AE254)&lt;36*365.25/12),2400/((TODAY()-AE254)/30.44/6+1),0),0)+IFERROR(IF(AND(AF254&gt;0,(TODAY()-AF254)&lt;36*365.25/12),2400/((TODAY()-AF254)/30.44/6+1),0),0)+IFERROR(IF(AND(AG254&gt;0,(TODAY()-AG254)&lt;36*365.25/12),2400/((TODAY()-AG254)/30.44/6+1),0),0),0)</f>
        <v>0</v>
      </c>
      <c r="AB254" s="4" t="n">
        <f aca="false">COUNTA(AC254:AG254)</f>
        <v>0</v>
      </c>
      <c r="AY254" s="1" t="n">
        <v>254</v>
      </c>
    </row>
    <row r="255" customFormat="false" ht="15" hidden="false" customHeight="true" outlineLevel="0" collapsed="false">
      <c r="B255" s="1" t="n">
        <v>255</v>
      </c>
      <c r="L255" s="4" t="n">
        <f aca="true">YEAR(TODAY())-H255</f>
        <v>2026</v>
      </c>
      <c r="N255" s="4" t="n">
        <f aca="true">O255+IF(AT255=1,480,0)+AA255+IF(K255="M",IF(AH255&gt;0,IF((TODAY()-AH255)/30.44&lt;6,2400,IF((TODAY()-AH255)/30.44&lt;12,1200,0)),0),0)+IF(AP255&gt;0,AP255,0)-R255-T255-S255-U255</f>
        <v>450</v>
      </c>
      <c r="O255" s="4" t="n">
        <f aca="true">IF(X255=1,1200,IF(YEAR(TODAY())-H255&lt;18,0,IF(YEAR(TODAY())-H255&lt;65,300,450)))</f>
        <v>450</v>
      </c>
      <c r="R255" s="4" t="n">
        <f aca="false">IF(MIN(AM255+IF(ISNUMBER(AN255),AN255,0),16000)&gt;=600,(MIN(AM255+IF(ISNUMBER(AN255),AN255,0),16000)-600)^0.8/10000*MIN(AM255+IF(ISNUMBER(AN255),AN255,0),16000),0)</f>
        <v>0</v>
      </c>
      <c r="S255" s="4" t="n">
        <f aca="false">IF(AB255=0,0,IF(AB255=1,30,IF(AB255=2,60,IF(AB255=3,120,IF(AB255=4,180,240)))))</f>
        <v>0</v>
      </c>
      <c r="T255" s="4" t="n">
        <f aca="false">IF(Y255&gt;0,Y255*600/MAX(1,Z255),0)</f>
        <v>0</v>
      </c>
      <c r="U255" s="4" t="n">
        <f aca="false">IF(AW255&gt;0,AW255*1000000*MAX(0,MIN(22,1+LOG10(AW255)))/100/12,0)</f>
        <v>0</v>
      </c>
      <c r="AA255" s="4" t="n">
        <f aca="true">IF(K255="W",IFERROR(IF(AND(AC255&gt;0,(TODAY()-AC255)&lt;36*365.25/12),2400/((TODAY()-AC255)/30.44/6+1),0),0)+IFERROR(IF(AND(AD255&gt;0,(TODAY()-AD255)&lt;36*365.25/12),2400/((TODAY()-AD255)/30.44/6+1),0),0)+IFERROR(IF(AND(AE255&gt;0,(TODAY()-AE255)&lt;36*365.25/12),2400/((TODAY()-AE255)/30.44/6+1),0),0)+IFERROR(IF(AND(AF255&gt;0,(TODAY()-AF255)&lt;36*365.25/12),2400/((TODAY()-AF255)/30.44/6+1),0),0)+IFERROR(IF(AND(AG255&gt;0,(TODAY()-AG255)&lt;36*365.25/12),2400/((TODAY()-AG255)/30.44/6+1),0),0),0)</f>
        <v>0</v>
      </c>
      <c r="AB255" s="4" t="n">
        <f aca="false">COUNTA(AC255:AG255)</f>
        <v>0</v>
      </c>
      <c r="AY255" s="1" t="n">
        <v>255</v>
      </c>
    </row>
    <row r="256" customFormat="false" ht="15" hidden="false" customHeight="true" outlineLevel="0" collapsed="false">
      <c r="B256" s="1" t="n">
        <v>256</v>
      </c>
      <c r="L256" s="4" t="n">
        <f aca="true">YEAR(TODAY())-H256</f>
        <v>2026</v>
      </c>
      <c r="N256" s="4" t="n">
        <f aca="true">O256+IF(AT256=1,480,0)+AA256+IF(K256="M",IF(AH256&gt;0,IF((TODAY()-AH256)/30.44&lt;6,2400,IF((TODAY()-AH256)/30.44&lt;12,1200,0)),0),0)+IF(AP256&gt;0,AP256,0)-R256-T256-S256-U256</f>
        <v>450</v>
      </c>
      <c r="O256" s="4" t="n">
        <f aca="true">IF(X256=1,1200,IF(YEAR(TODAY())-H256&lt;18,0,IF(YEAR(TODAY())-H256&lt;65,300,450)))</f>
        <v>450</v>
      </c>
      <c r="R256" s="4" t="n">
        <f aca="false">IF(MIN(AM256+IF(ISNUMBER(AN256),AN256,0),16000)&gt;=600,(MIN(AM256+IF(ISNUMBER(AN256),AN256,0),16000)-600)^0.8/10000*MIN(AM256+IF(ISNUMBER(AN256),AN256,0),16000),0)</f>
        <v>0</v>
      </c>
      <c r="S256" s="4" t="n">
        <f aca="false">IF(AB256=0,0,IF(AB256=1,30,IF(AB256=2,60,IF(AB256=3,120,IF(AB256=4,180,240)))))</f>
        <v>0</v>
      </c>
      <c r="T256" s="4" t="n">
        <f aca="false">IF(Y256&gt;0,Y256*600/MAX(1,Z256),0)</f>
        <v>0</v>
      </c>
      <c r="U256" s="4" t="n">
        <f aca="false">IF(AW256&gt;0,AW256*1000000*MAX(0,MIN(22,1+LOG10(AW256)))/100/12,0)</f>
        <v>0</v>
      </c>
      <c r="AA256" s="4" t="n">
        <f aca="true">IF(K256="W",IFERROR(IF(AND(AC256&gt;0,(TODAY()-AC256)&lt;36*365.25/12),2400/((TODAY()-AC256)/30.44/6+1),0),0)+IFERROR(IF(AND(AD256&gt;0,(TODAY()-AD256)&lt;36*365.25/12),2400/((TODAY()-AD256)/30.44/6+1),0),0)+IFERROR(IF(AND(AE256&gt;0,(TODAY()-AE256)&lt;36*365.25/12),2400/((TODAY()-AE256)/30.44/6+1),0),0)+IFERROR(IF(AND(AF256&gt;0,(TODAY()-AF256)&lt;36*365.25/12),2400/((TODAY()-AF256)/30.44/6+1),0),0)+IFERROR(IF(AND(AG256&gt;0,(TODAY()-AG256)&lt;36*365.25/12),2400/((TODAY()-AG256)/30.44/6+1),0),0),0)</f>
        <v>0</v>
      </c>
      <c r="AB256" s="4" t="n">
        <f aca="false">COUNTA(AC256:AG256)</f>
        <v>0</v>
      </c>
      <c r="AY256" s="1" t="n">
        <v>256</v>
      </c>
    </row>
    <row r="257" customFormat="false" ht="15" hidden="false" customHeight="true" outlineLevel="0" collapsed="false">
      <c r="B257" s="1" t="n">
        <v>257</v>
      </c>
      <c r="L257" s="4" t="n">
        <f aca="true">YEAR(TODAY())-H257</f>
        <v>2026</v>
      </c>
      <c r="N257" s="4" t="n">
        <f aca="true">O257+IF(AT257=1,480,0)+AA257+IF(K257="M",IF(AH257&gt;0,IF((TODAY()-AH257)/30.44&lt;6,2400,IF((TODAY()-AH257)/30.44&lt;12,1200,0)),0),0)+IF(AP257&gt;0,AP257,0)-R257-T257-S257-U257</f>
        <v>450</v>
      </c>
      <c r="O257" s="4" t="n">
        <f aca="true">IF(X257=1,1200,IF(YEAR(TODAY())-H257&lt;18,0,IF(YEAR(TODAY())-H257&lt;65,300,450)))</f>
        <v>450</v>
      </c>
      <c r="R257" s="4" t="n">
        <f aca="false">IF(MIN(AM257+IF(ISNUMBER(AN257),AN257,0),16000)&gt;=600,(MIN(AM257+IF(ISNUMBER(AN257),AN257,0),16000)-600)^0.8/10000*MIN(AM257+IF(ISNUMBER(AN257),AN257,0),16000),0)</f>
        <v>0</v>
      </c>
      <c r="S257" s="4" t="n">
        <f aca="false">IF(AB257=0,0,IF(AB257=1,30,IF(AB257=2,60,IF(AB257=3,120,IF(AB257=4,180,240)))))</f>
        <v>0</v>
      </c>
      <c r="T257" s="4" t="n">
        <f aca="false">IF(Y257&gt;0,Y257*600/MAX(1,Z257),0)</f>
        <v>0</v>
      </c>
      <c r="U257" s="4" t="n">
        <f aca="false">IF(AW257&gt;0,AW257*1000000*MAX(0,MIN(22,1+LOG10(AW257)))/100/12,0)</f>
        <v>0</v>
      </c>
      <c r="AA257" s="4" t="n">
        <f aca="true">IF(K257="W",IFERROR(IF(AND(AC257&gt;0,(TODAY()-AC257)&lt;36*365.25/12),2400/((TODAY()-AC257)/30.44/6+1),0),0)+IFERROR(IF(AND(AD257&gt;0,(TODAY()-AD257)&lt;36*365.25/12),2400/((TODAY()-AD257)/30.44/6+1),0),0)+IFERROR(IF(AND(AE257&gt;0,(TODAY()-AE257)&lt;36*365.25/12),2400/((TODAY()-AE257)/30.44/6+1),0),0)+IFERROR(IF(AND(AF257&gt;0,(TODAY()-AF257)&lt;36*365.25/12),2400/((TODAY()-AF257)/30.44/6+1),0),0)+IFERROR(IF(AND(AG257&gt;0,(TODAY()-AG257)&lt;36*365.25/12),2400/((TODAY()-AG257)/30.44/6+1),0),0),0)</f>
        <v>0</v>
      </c>
      <c r="AB257" s="4" t="n">
        <f aca="false">COUNTA(AC257:AG257)</f>
        <v>0</v>
      </c>
      <c r="AY257" s="1" t="n">
        <v>257</v>
      </c>
    </row>
    <row r="258" customFormat="false" ht="15" hidden="false" customHeight="true" outlineLevel="0" collapsed="false">
      <c r="B258" s="1" t="n">
        <v>258</v>
      </c>
      <c r="L258" s="4" t="n">
        <f aca="true">YEAR(TODAY())-H258</f>
        <v>2026</v>
      </c>
      <c r="N258" s="4" t="n">
        <f aca="true">O258+IF(AT258=1,480,0)+AA258+IF(K258="M",IF(AH258&gt;0,IF((TODAY()-AH258)/30.44&lt;6,2400,IF((TODAY()-AH258)/30.44&lt;12,1200,0)),0),0)+IF(AP258&gt;0,AP258,0)-R258-T258-S258-U258</f>
        <v>450</v>
      </c>
      <c r="O258" s="4" t="n">
        <f aca="true">IF(X258=1,1200,IF(YEAR(TODAY())-H258&lt;18,0,IF(YEAR(TODAY())-H258&lt;65,300,450)))</f>
        <v>450</v>
      </c>
      <c r="R258" s="4" t="n">
        <f aca="false">IF(MIN(AM258+IF(ISNUMBER(AN258),AN258,0),16000)&gt;=600,(MIN(AM258+IF(ISNUMBER(AN258),AN258,0),16000)-600)^0.8/10000*MIN(AM258+IF(ISNUMBER(AN258),AN258,0),16000),0)</f>
        <v>0</v>
      </c>
      <c r="S258" s="4" t="n">
        <f aca="false">IF(AB258=0,0,IF(AB258=1,30,IF(AB258=2,60,IF(AB258=3,120,IF(AB258=4,180,240)))))</f>
        <v>0</v>
      </c>
      <c r="T258" s="4" t="n">
        <f aca="false">IF(Y258&gt;0,Y258*600/MAX(1,Z258),0)</f>
        <v>0</v>
      </c>
      <c r="U258" s="4" t="n">
        <f aca="false">IF(AW258&gt;0,AW258*1000000*MAX(0,MIN(22,1+LOG10(AW258)))/100/12,0)</f>
        <v>0</v>
      </c>
      <c r="AA258" s="4" t="n">
        <f aca="true">IF(K258="W",IFERROR(IF(AND(AC258&gt;0,(TODAY()-AC258)&lt;36*365.25/12),2400/((TODAY()-AC258)/30.44/6+1),0),0)+IFERROR(IF(AND(AD258&gt;0,(TODAY()-AD258)&lt;36*365.25/12),2400/((TODAY()-AD258)/30.44/6+1),0),0)+IFERROR(IF(AND(AE258&gt;0,(TODAY()-AE258)&lt;36*365.25/12),2400/((TODAY()-AE258)/30.44/6+1),0),0)+IFERROR(IF(AND(AF258&gt;0,(TODAY()-AF258)&lt;36*365.25/12),2400/((TODAY()-AF258)/30.44/6+1),0),0)+IFERROR(IF(AND(AG258&gt;0,(TODAY()-AG258)&lt;36*365.25/12),2400/((TODAY()-AG258)/30.44/6+1),0),0),0)</f>
        <v>0</v>
      </c>
      <c r="AB258" s="4" t="n">
        <f aca="false">COUNTA(AC258:AG258)</f>
        <v>0</v>
      </c>
      <c r="AY258" s="1" t="n">
        <v>258</v>
      </c>
    </row>
    <row r="259" customFormat="false" ht="15" hidden="false" customHeight="true" outlineLevel="0" collapsed="false">
      <c r="B259" s="1" t="n">
        <v>259</v>
      </c>
      <c r="L259" s="4" t="n">
        <f aca="true">YEAR(TODAY())-H259</f>
        <v>2026</v>
      </c>
      <c r="N259" s="4" t="n">
        <f aca="true">O259+IF(AT259=1,480,0)+AA259+IF(K259="M",IF(AH259&gt;0,IF((TODAY()-AH259)/30.44&lt;6,2400,IF((TODAY()-AH259)/30.44&lt;12,1200,0)),0),0)+IF(AP259&gt;0,AP259,0)-R259-T259-S259-U259</f>
        <v>450</v>
      </c>
      <c r="O259" s="4" t="n">
        <f aca="true">IF(X259=1,1200,IF(YEAR(TODAY())-H259&lt;18,0,IF(YEAR(TODAY())-H259&lt;65,300,450)))</f>
        <v>450</v>
      </c>
      <c r="R259" s="4" t="n">
        <f aca="false">IF(MIN(AM259+IF(ISNUMBER(AN259),AN259,0),16000)&gt;=600,(MIN(AM259+IF(ISNUMBER(AN259),AN259,0),16000)-600)^0.8/10000*MIN(AM259+IF(ISNUMBER(AN259),AN259,0),16000),0)</f>
        <v>0</v>
      </c>
      <c r="S259" s="4" t="n">
        <f aca="false">IF(AB259=0,0,IF(AB259=1,30,IF(AB259=2,60,IF(AB259=3,120,IF(AB259=4,180,240)))))</f>
        <v>0</v>
      </c>
      <c r="T259" s="4" t="n">
        <f aca="false">IF(Y259&gt;0,Y259*600/MAX(1,Z259),0)</f>
        <v>0</v>
      </c>
      <c r="U259" s="4" t="n">
        <f aca="false">IF(AW259&gt;0,AW259*1000000*MAX(0,MIN(22,1+LOG10(AW259)))/100/12,0)</f>
        <v>0</v>
      </c>
      <c r="AA259" s="4" t="n">
        <f aca="true">IF(K259="W",IFERROR(IF(AND(AC259&gt;0,(TODAY()-AC259)&lt;36*365.25/12),2400/((TODAY()-AC259)/30.44/6+1),0),0)+IFERROR(IF(AND(AD259&gt;0,(TODAY()-AD259)&lt;36*365.25/12),2400/((TODAY()-AD259)/30.44/6+1),0),0)+IFERROR(IF(AND(AE259&gt;0,(TODAY()-AE259)&lt;36*365.25/12),2400/((TODAY()-AE259)/30.44/6+1),0),0)+IFERROR(IF(AND(AF259&gt;0,(TODAY()-AF259)&lt;36*365.25/12),2400/((TODAY()-AF259)/30.44/6+1),0),0)+IFERROR(IF(AND(AG259&gt;0,(TODAY()-AG259)&lt;36*365.25/12),2400/((TODAY()-AG259)/30.44/6+1),0),0),0)</f>
        <v>0</v>
      </c>
      <c r="AB259" s="4" t="n">
        <f aca="false">COUNTA(AC259:AG259)</f>
        <v>0</v>
      </c>
      <c r="AY259" s="1" t="n">
        <v>259</v>
      </c>
    </row>
    <row r="260" customFormat="false" ht="15" hidden="false" customHeight="true" outlineLevel="0" collapsed="false">
      <c r="B260" s="1" t="n">
        <v>260</v>
      </c>
      <c r="L260" s="4" t="n">
        <f aca="true">YEAR(TODAY())-H260</f>
        <v>2026</v>
      </c>
      <c r="N260" s="4" t="n">
        <f aca="true">O260+IF(AT260=1,480,0)+AA260+IF(K260="M",IF(AH260&gt;0,IF((TODAY()-AH260)/30.44&lt;6,2400,IF((TODAY()-AH260)/30.44&lt;12,1200,0)),0),0)+IF(AP260&gt;0,AP260,0)-R260-T260-S260-U260</f>
        <v>450</v>
      </c>
      <c r="O260" s="4" t="n">
        <f aca="true">IF(X260=1,1200,IF(YEAR(TODAY())-H260&lt;18,0,IF(YEAR(TODAY())-H260&lt;65,300,450)))</f>
        <v>450</v>
      </c>
      <c r="R260" s="4" t="n">
        <f aca="false">IF(MIN(AM260+IF(ISNUMBER(AN260),AN260,0),16000)&gt;=600,(MIN(AM260+IF(ISNUMBER(AN260),AN260,0),16000)-600)^0.8/10000*MIN(AM260+IF(ISNUMBER(AN260),AN260,0),16000),0)</f>
        <v>0</v>
      </c>
      <c r="S260" s="4" t="n">
        <f aca="false">IF(AB260=0,0,IF(AB260=1,30,IF(AB260=2,60,IF(AB260=3,120,IF(AB260=4,180,240)))))</f>
        <v>0</v>
      </c>
      <c r="T260" s="4" t="n">
        <f aca="false">IF(Y260&gt;0,Y260*600/MAX(1,Z260),0)</f>
        <v>0</v>
      </c>
      <c r="U260" s="4" t="n">
        <f aca="false">IF(AW260&gt;0,AW260*1000000*MAX(0,MIN(22,1+LOG10(AW260)))/100/12,0)</f>
        <v>0</v>
      </c>
      <c r="AA260" s="4" t="n">
        <f aca="true">IF(K260="W",IFERROR(IF(AND(AC260&gt;0,(TODAY()-AC260)&lt;36*365.25/12),2400/((TODAY()-AC260)/30.44/6+1),0),0)+IFERROR(IF(AND(AD260&gt;0,(TODAY()-AD260)&lt;36*365.25/12),2400/((TODAY()-AD260)/30.44/6+1),0),0)+IFERROR(IF(AND(AE260&gt;0,(TODAY()-AE260)&lt;36*365.25/12),2400/((TODAY()-AE260)/30.44/6+1),0),0)+IFERROR(IF(AND(AF260&gt;0,(TODAY()-AF260)&lt;36*365.25/12),2400/((TODAY()-AF260)/30.44/6+1),0),0)+IFERROR(IF(AND(AG260&gt;0,(TODAY()-AG260)&lt;36*365.25/12),2400/((TODAY()-AG260)/30.44/6+1),0),0),0)</f>
        <v>0</v>
      </c>
      <c r="AB260" s="4" t="n">
        <f aca="false">COUNTA(AC260:AG260)</f>
        <v>0</v>
      </c>
      <c r="AY260" s="1" t="n">
        <v>260</v>
      </c>
    </row>
    <row r="261" customFormat="false" ht="15" hidden="false" customHeight="true" outlineLevel="0" collapsed="false">
      <c r="B261" s="1" t="n">
        <v>261</v>
      </c>
      <c r="L261" s="4" t="n">
        <f aca="true">YEAR(TODAY())-H261</f>
        <v>2026</v>
      </c>
      <c r="N261" s="4" t="n">
        <f aca="true">O261+IF(AT261=1,480,0)+AA261+IF(K261="M",IF(AH261&gt;0,IF((TODAY()-AH261)/30.44&lt;6,2400,IF((TODAY()-AH261)/30.44&lt;12,1200,0)),0),0)+IF(AP261&gt;0,AP261,0)-R261-T261-S261-U261</f>
        <v>450</v>
      </c>
      <c r="O261" s="4" t="n">
        <f aca="true">IF(X261=1,1200,IF(YEAR(TODAY())-H261&lt;18,0,IF(YEAR(TODAY())-H261&lt;65,300,450)))</f>
        <v>450</v>
      </c>
      <c r="R261" s="4" t="n">
        <f aca="false">IF(MIN(AM261+IF(ISNUMBER(AN261),AN261,0),16000)&gt;=600,(MIN(AM261+IF(ISNUMBER(AN261),AN261,0),16000)-600)^0.8/10000*MIN(AM261+IF(ISNUMBER(AN261),AN261,0),16000),0)</f>
        <v>0</v>
      </c>
      <c r="S261" s="4" t="n">
        <f aca="false">IF(AB261=0,0,IF(AB261=1,30,IF(AB261=2,60,IF(AB261=3,120,IF(AB261=4,180,240)))))</f>
        <v>0</v>
      </c>
      <c r="T261" s="4" t="n">
        <f aca="false">IF(Y261&gt;0,Y261*600/MAX(1,Z261),0)</f>
        <v>0</v>
      </c>
      <c r="U261" s="4" t="n">
        <f aca="false">IF(AW261&gt;0,AW261*1000000*MAX(0,MIN(22,1+LOG10(AW261)))/100/12,0)</f>
        <v>0</v>
      </c>
      <c r="AA261" s="4" t="n">
        <f aca="true">IF(K261="W",IFERROR(IF(AND(AC261&gt;0,(TODAY()-AC261)&lt;36*365.25/12),2400/((TODAY()-AC261)/30.44/6+1),0),0)+IFERROR(IF(AND(AD261&gt;0,(TODAY()-AD261)&lt;36*365.25/12),2400/((TODAY()-AD261)/30.44/6+1),0),0)+IFERROR(IF(AND(AE261&gt;0,(TODAY()-AE261)&lt;36*365.25/12),2400/((TODAY()-AE261)/30.44/6+1),0),0)+IFERROR(IF(AND(AF261&gt;0,(TODAY()-AF261)&lt;36*365.25/12),2400/((TODAY()-AF261)/30.44/6+1),0),0)+IFERROR(IF(AND(AG261&gt;0,(TODAY()-AG261)&lt;36*365.25/12),2400/((TODAY()-AG261)/30.44/6+1),0),0),0)</f>
        <v>0</v>
      </c>
      <c r="AB261" s="4" t="n">
        <f aca="false">COUNTA(AC261:AG261)</f>
        <v>0</v>
      </c>
      <c r="AY261" s="1" t="n">
        <v>261</v>
      </c>
    </row>
    <row r="262" customFormat="false" ht="15" hidden="false" customHeight="true" outlineLevel="0" collapsed="false">
      <c r="B262" s="1" t="n">
        <v>262</v>
      </c>
      <c r="L262" s="4" t="n">
        <f aca="true">YEAR(TODAY())-H262</f>
        <v>2026</v>
      </c>
      <c r="N262" s="4" t="n">
        <f aca="true">O262+IF(AT262=1,480,0)+AA262+IF(K262="M",IF(AH262&gt;0,IF((TODAY()-AH262)/30.44&lt;6,2400,IF((TODAY()-AH262)/30.44&lt;12,1200,0)),0),0)+IF(AP262&gt;0,AP262,0)-R262-T262-S262-U262</f>
        <v>450</v>
      </c>
      <c r="O262" s="4" t="n">
        <f aca="true">IF(X262=1,1200,IF(YEAR(TODAY())-H262&lt;18,0,IF(YEAR(TODAY())-H262&lt;65,300,450)))</f>
        <v>450</v>
      </c>
      <c r="R262" s="4" t="n">
        <f aca="false">IF(MIN(AM262+IF(ISNUMBER(AN262),AN262,0),16000)&gt;=600,(MIN(AM262+IF(ISNUMBER(AN262),AN262,0),16000)-600)^0.8/10000*MIN(AM262+IF(ISNUMBER(AN262),AN262,0),16000),0)</f>
        <v>0</v>
      </c>
      <c r="S262" s="4" t="n">
        <f aca="false">IF(AB262=0,0,IF(AB262=1,30,IF(AB262=2,60,IF(AB262=3,120,IF(AB262=4,180,240)))))</f>
        <v>0</v>
      </c>
      <c r="T262" s="4" t="n">
        <f aca="false">IF(Y262&gt;0,Y262*600/MAX(1,Z262),0)</f>
        <v>0</v>
      </c>
      <c r="U262" s="4" t="n">
        <f aca="false">IF(AW262&gt;0,AW262*1000000*MAX(0,MIN(22,1+LOG10(AW262)))/100/12,0)</f>
        <v>0</v>
      </c>
      <c r="AA262" s="4" t="n">
        <f aca="true">IF(K262="W",IFERROR(IF(AND(AC262&gt;0,(TODAY()-AC262)&lt;36*365.25/12),2400/((TODAY()-AC262)/30.44/6+1),0),0)+IFERROR(IF(AND(AD262&gt;0,(TODAY()-AD262)&lt;36*365.25/12),2400/((TODAY()-AD262)/30.44/6+1),0),0)+IFERROR(IF(AND(AE262&gt;0,(TODAY()-AE262)&lt;36*365.25/12),2400/((TODAY()-AE262)/30.44/6+1),0),0)+IFERROR(IF(AND(AF262&gt;0,(TODAY()-AF262)&lt;36*365.25/12),2400/((TODAY()-AF262)/30.44/6+1),0),0)+IFERROR(IF(AND(AG262&gt;0,(TODAY()-AG262)&lt;36*365.25/12),2400/((TODAY()-AG262)/30.44/6+1),0),0),0)</f>
        <v>0</v>
      </c>
      <c r="AB262" s="4" t="n">
        <f aca="false">COUNTA(AC262:AG262)</f>
        <v>0</v>
      </c>
      <c r="AY262" s="1" t="n">
        <v>262</v>
      </c>
    </row>
    <row r="263" customFormat="false" ht="15" hidden="false" customHeight="true" outlineLevel="0" collapsed="false">
      <c r="B263" s="1" t="n">
        <v>263</v>
      </c>
      <c r="L263" s="4" t="n">
        <f aca="true">YEAR(TODAY())-H263</f>
        <v>2026</v>
      </c>
      <c r="N263" s="4" t="n">
        <f aca="true">O263+IF(AT263=1,480,0)+AA263+IF(K263="M",IF(AH263&gt;0,IF((TODAY()-AH263)/30.44&lt;6,2400,IF((TODAY()-AH263)/30.44&lt;12,1200,0)),0),0)+IF(AP263&gt;0,AP263,0)-R263-T263-S263-U263</f>
        <v>450</v>
      </c>
      <c r="O263" s="4" t="n">
        <f aca="true">IF(X263=1,1200,IF(YEAR(TODAY())-H263&lt;18,0,IF(YEAR(TODAY())-H263&lt;65,300,450)))</f>
        <v>450</v>
      </c>
      <c r="R263" s="4" t="n">
        <f aca="false">IF(MIN(AM263+IF(ISNUMBER(AN263),AN263,0),16000)&gt;=600,(MIN(AM263+IF(ISNUMBER(AN263),AN263,0),16000)-600)^0.8/10000*MIN(AM263+IF(ISNUMBER(AN263),AN263,0),16000),0)</f>
        <v>0</v>
      </c>
      <c r="S263" s="4" t="n">
        <f aca="false">IF(AB263=0,0,IF(AB263=1,30,IF(AB263=2,60,IF(AB263=3,120,IF(AB263=4,180,240)))))</f>
        <v>0</v>
      </c>
      <c r="T263" s="4" t="n">
        <f aca="false">IF(Y263&gt;0,Y263*600/MAX(1,Z263),0)</f>
        <v>0</v>
      </c>
      <c r="U263" s="4" t="n">
        <f aca="false">IF(AW263&gt;0,AW263*1000000*MAX(0,MIN(22,1+LOG10(AW263)))/100/12,0)</f>
        <v>0</v>
      </c>
      <c r="AA263" s="4" t="n">
        <f aca="true">IF(K263="W",IFERROR(IF(AND(AC263&gt;0,(TODAY()-AC263)&lt;36*365.25/12),2400/((TODAY()-AC263)/30.44/6+1),0),0)+IFERROR(IF(AND(AD263&gt;0,(TODAY()-AD263)&lt;36*365.25/12),2400/((TODAY()-AD263)/30.44/6+1),0),0)+IFERROR(IF(AND(AE263&gt;0,(TODAY()-AE263)&lt;36*365.25/12),2400/((TODAY()-AE263)/30.44/6+1),0),0)+IFERROR(IF(AND(AF263&gt;0,(TODAY()-AF263)&lt;36*365.25/12),2400/((TODAY()-AF263)/30.44/6+1),0),0)+IFERROR(IF(AND(AG263&gt;0,(TODAY()-AG263)&lt;36*365.25/12),2400/((TODAY()-AG263)/30.44/6+1),0),0),0)</f>
        <v>0</v>
      </c>
      <c r="AB263" s="4" t="n">
        <f aca="false">COUNTA(AC263:AG263)</f>
        <v>0</v>
      </c>
      <c r="AY263" s="1" t="n">
        <v>263</v>
      </c>
    </row>
    <row r="264" customFormat="false" ht="15" hidden="false" customHeight="true" outlineLevel="0" collapsed="false">
      <c r="B264" s="1" t="n">
        <v>264</v>
      </c>
      <c r="L264" s="4" t="n">
        <f aca="true">YEAR(TODAY())-H264</f>
        <v>2026</v>
      </c>
      <c r="N264" s="4" t="n">
        <f aca="true">O264+IF(AT264=1,480,0)+AA264+IF(K264="M",IF(AH264&gt;0,IF((TODAY()-AH264)/30.44&lt;6,2400,IF((TODAY()-AH264)/30.44&lt;12,1200,0)),0),0)+IF(AP264&gt;0,AP264,0)-R264-T264-S264-U264</f>
        <v>450</v>
      </c>
      <c r="O264" s="4" t="n">
        <f aca="true">IF(X264=1,1200,IF(YEAR(TODAY())-H264&lt;18,0,IF(YEAR(TODAY())-H264&lt;65,300,450)))</f>
        <v>450</v>
      </c>
      <c r="R264" s="4" t="n">
        <f aca="false">IF(MIN(AM264+IF(ISNUMBER(AN264),AN264,0),16000)&gt;=600,(MIN(AM264+IF(ISNUMBER(AN264),AN264,0),16000)-600)^0.8/10000*MIN(AM264+IF(ISNUMBER(AN264),AN264,0),16000),0)</f>
        <v>0</v>
      </c>
      <c r="S264" s="4" t="n">
        <f aca="false">IF(AB264=0,0,IF(AB264=1,30,IF(AB264=2,60,IF(AB264=3,120,IF(AB264=4,180,240)))))</f>
        <v>0</v>
      </c>
      <c r="T264" s="4" t="n">
        <f aca="false">IF(Y264&gt;0,Y264*600/MAX(1,Z264),0)</f>
        <v>0</v>
      </c>
      <c r="U264" s="4" t="n">
        <f aca="false">IF(AW264&gt;0,AW264*1000000*MAX(0,MIN(22,1+LOG10(AW264)))/100/12,0)</f>
        <v>0</v>
      </c>
      <c r="AA264" s="4" t="n">
        <f aca="true">IF(K264="W",IFERROR(IF(AND(AC264&gt;0,(TODAY()-AC264)&lt;36*365.25/12),2400/((TODAY()-AC264)/30.44/6+1),0),0)+IFERROR(IF(AND(AD264&gt;0,(TODAY()-AD264)&lt;36*365.25/12),2400/((TODAY()-AD264)/30.44/6+1),0),0)+IFERROR(IF(AND(AE264&gt;0,(TODAY()-AE264)&lt;36*365.25/12),2400/((TODAY()-AE264)/30.44/6+1),0),0)+IFERROR(IF(AND(AF264&gt;0,(TODAY()-AF264)&lt;36*365.25/12),2400/((TODAY()-AF264)/30.44/6+1),0),0)+IFERROR(IF(AND(AG264&gt;0,(TODAY()-AG264)&lt;36*365.25/12),2400/((TODAY()-AG264)/30.44/6+1),0),0),0)</f>
        <v>0</v>
      </c>
      <c r="AB264" s="4" t="n">
        <f aca="false">COUNTA(AC264:AG264)</f>
        <v>0</v>
      </c>
      <c r="AY264" s="1" t="n">
        <v>264</v>
      </c>
    </row>
    <row r="265" customFormat="false" ht="15" hidden="false" customHeight="true" outlineLevel="0" collapsed="false">
      <c r="B265" s="1" t="n">
        <v>265</v>
      </c>
      <c r="L265" s="4" t="n">
        <f aca="true">YEAR(TODAY())-H265</f>
        <v>2026</v>
      </c>
      <c r="N265" s="4" t="n">
        <f aca="true">O265+IF(AT265=1,480,0)+AA265+IF(K265="M",IF(AH265&gt;0,IF((TODAY()-AH265)/30.44&lt;6,2400,IF((TODAY()-AH265)/30.44&lt;12,1200,0)),0),0)+IF(AP265&gt;0,AP265,0)-R265-T265-S265-U265</f>
        <v>450</v>
      </c>
      <c r="O265" s="4" t="n">
        <f aca="true">IF(X265=1,1200,IF(YEAR(TODAY())-H265&lt;18,0,IF(YEAR(TODAY())-H265&lt;65,300,450)))</f>
        <v>450</v>
      </c>
      <c r="R265" s="4" t="n">
        <f aca="false">IF(MIN(AM265+IF(ISNUMBER(AN265),AN265,0),16000)&gt;=600,(MIN(AM265+IF(ISNUMBER(AN265),AN265,0),16000)-600)^0.8/10000*MIN(AM265+IF(ISNUMBER(AN265),AN265,0),16000),0)</f>
        <v>0</v>
      </c>
      <c r="S265" s="4" t="n">
        <f aca="false">IF(AB265=0,0,IF(AB265=1,30,IF(AB265=2,60,IF(AB265=3,120,IF(AB265=4,180,240)))))</f>
        <v>0</v>
      </c>
      <c r="T265" s="4" t="n">
        <f aca="false">IF(Y265&gt;0,Y265*600/MAX(1,Z265),0)</f>
        <v>0</v>
      </c>
      <c r="U265" s="4" t="n">
        <f aca="false">IF(AW265&gt;0,AW265*1000000*MAX(0,MIN(22,1+LOG10(AW265)))/100/12,0)</f>
        <v>0</v>
      </c>
      <c r="AA265" s="4" t="n">
        <f aca="true">IF(K265="W",IFERROR(IF(AND(AC265&gt;0,(TODAY()-AC265)&lt;36*365.25/12),2400/((TODAY()-AC265)/30.44/6+1),0),0)+IFERROR(IF(AND(AD265&gt;0,(TODAY()-AD265)&lt;36*365.25/12),2400/((TODAY()-AD265)/30.44/6+1),0),0)+IFERROR(IF(AND(AE265&gt;0,(TODAY()-AE265)&lt;36*365.25/12),2400/((TODAY()-AE265)/30.44/6+1),0),0)+IFERROR(IF(AND(AF265&gt;0,(TODAY()-AF265)&lt;36*365.25/12),2400/((TODAY()-AF265)/30.44/6+1),0),0)+IFERROR(IF(AND(AG265&gt;0,(TODAY()-AG265)&lt;36*365.25/12),2400/((TODAY()-AG265)/30.44/6+1),0),0),0)</f>
        <v>0</v>
      </c>
      <c r="AB265" s="4" t="n">
        <f aca="false">COUNTA(AC265:AG265)</f>
        <v>0</v>
      </c>
      <c r="AY265" s="1" t="n">
        <v>265</v>
      </c>
    </row>
    <row r="266" customFormat="false" ht="15" hidden="false" customHeight="true" outlineLevel="0" collapsed="false">
      <c r="B266" s="1" t="n">
        <v>266</v>
      </c>
      <c r="L266" s="4" t="n">
        <f aca="true">YEAR(TODAY())-H266</f>
        <v>2026</v>
      </c>
      <c r="N266" s="4" t="n">
        <f aca="true">O266+IF(AT266=1,480,0)+AA266+IF(K266="M",IF(AH266&gt;0,IF((TODAY()-AH266)/30.44&lt;6,2400,IF((TODAY()-AH266)/30.44&lt;12,1200,0)),0),0)+IF(AP266&gt;0,AP266,0)-R266-T266-S266-U266</f>
        <v>450</v>
      </c>
      <c r="O266" s="4" t="n">
        <f aca="true">IF(X266=1,1200,IF(YEAR(TODAY())-H266&lt;18,0,IF(YEAR(TODAY())-H266&lt;65,300,450)))</f>
        <v>450</v>
      </c>
      <c r="R266" s="4" t="n">
        <f aca="false">IF(MIN(AM266+IF(ISNUMBER(AN266),AN266,0),16000)&gt;=600,(MIN(AM266+IF(ISNUMBER(AN266),AN266,0),16000)-600)^0.8/10000*MIN(AM266+IF(ISNUMBER(AN266),AN266,0),16000),0)</f>
        <v>0</v>
      </c>
      <c r="S266" s="4" t="n">
        <f aca="false">IF(AB266=0,0,IF(AB266=1,30,IF(AB266=2,60,IF(AB266=3,120,IF(AB266=4,180,240)))))</f>
        <v>0</v>
      </c>
      <c r="T266" s="4" t="n">
        <f aca="false">IF(Y266&gt;0,Y266*600/MAX(1,Z266),0)</f>
        <v>0</v>
      </c>
      <c r="U266" s="4" t="n">
        <f aca="false">IF(AW266&gt;0,AW266*1000000*MAX(0,MIN(22,1+LOG10(AW266)))/100/12,0)</f>
        <v>0</v>
      </c>
      <c r="AA266" s="4" t="n">
        <f aca="true">IF(K266="W",IFERROR(IF(AND(AC266&gt;0,(TODAY()-AC266)&lt;36*365.25/12),2400/((TODAY()-AC266)/30.44/6+1),0),0)+IFERROR(IF(AND(AD266&gt;0,(TODAY()-AD266)&lt;36*365.25/12),2400/((TODAY()-AD266)/30.44/6+1),0),0)+IFERROR(IF(AND(AE266&gt;0,(TODAY()-AE266)&lt;36*365.25/12),2400/((TODAY()-AE266)/30.44/6+1),0),0)+IFERROR(IF(AND(AF266&gt;0,(TODAY()-AF266)&lt;36*365.25/12),2400/((TODAY()-AF266)/30.44/6+1),0),0)+IFERROR(IF(AND(AG266&gt;0,(TODAY()-AG266)&lt;36*365.25/12),2400/((TODAY()-AG266)/30.44/6+1),0),0),0)</f>
        <v>0</v>
      </c>
      <c r="AB266" s="4" t="n">
        <f aca="false">COUNTA(AC266:AG266)</f>
        <v>0</v>
      </c>
      <c r="AY266" s="1" t="n">
        <v>266</v>
      </c>
    </row>
    <row r="267" customFormat="false" ht="15" hidden="false" customHeight="true" outlineLevel="0" collapsed="false">
      <c r="B267" s="1" t="n">
        <v>267</v>
      </c>
      <c r="L267" s="4" t="n">
        <f aca="true">YEAR(TODAY())-H267</f>
        <v>2026</v>
      </c>
      <c r="N267" s="4" t="n">
        <f aca="true">O267+IF(AT267=1,480,0)+AA267+IF(K267="M",IF(AH267&gt;0,IF((TODAY()-AH267)/30.44&lt;6,2400,IF((TODAY()-AH267)/30.44&lt;12,1200,0)),0),0)+IF(AP267&gt;0,AP267,0)-R267-T267-S267-U267</f>
        <v>450</v>
      </c>
      <c r="O267" s="4" t="n">
        <f aca="true">IF(X267=1,1200,IF(YEAR(TODAY())-H267&lt;18,0,IF(YEAR(TODAY())-H267&lt;65,300,450)))</f>
        <v>450</v>
      </c>
      <c r="R267" s="4" t="n">
        <f aca="false">IF(MIN(AM267+IF(ISNUMBER(AN267),AN267,0),16000)&gt;=600,(MIN(AM267+IF(ISNUMBER(AN267),AN267,0),16000)-600)^0.8/10000*MIN(AM267+IF(ISNUMBER(AN267),AN267,0),16000),0)</f>
        <v>0</v>
      </c>
      <c r="S267" s="4" t="n">
        <f aca="false">IF(AB267=0,0,IF(AB267=1,30,IF(AB267=2,60,IF(AB267=3,120,IF(AB267=4,180,240)))))</f>
        <v>0</v>
      </c>
      <c r="T267" s="4" t="n">
        <f aca="false">IF(Y267&gt;0,Y267*600/MAX(1,Z267),0)</f>
        <v>0</v>
      </c>
      <c r="U267" s="4" t="n">
        <f aca="false">IF(AW267&gt;0,AW267*1000000*MAX(0,MIN(22,1+LOG10(AW267)))/100/12,0)</f>
        <v>0</v>
      </c>
      <c r="AA267" s="4" t="n">
        <f aca="true">IF(K267="W",IFERROR(IF(AND(AC267&gt;0,(TODAY()-AC267)&lt;36*365.25/12),2400/((TODAY()-AC267)/30.44/6+1),0),0)+IFERROR(IF(AND(AD267&gt;0,(TODAY()-AD267)&lt;36*365.25/12),2400/((TODAY()-AD267)/30.44/6+1),0),0)+IFERROR(IF(AND(AE267&gt;0,(TODAY()-AE267)&lt;36*365.25/12),2400/((TODAY()-AE267)/30.44/6+1),0),0)+IFERROR(IF(AND(AF267&gt;0,(TODAY()-AF267)&lt;36*365.25/12),2400/((TODAY()-AF267)/30.44/6+1),0),0)+IFERROR(IF(AND(AG267&gt;0,(TODAY()-AG267)&lt;36*365.25/12),2400/((TODAY()-AG267)/30.44/6+1),0),0),0)</f>
        <v>0</v>
      </c>
      <c r="AB267" s="4" t="n">
        <f aca="false">COUNTA(AC267:AG267)</f>
        <v>0</v>
      </c>
      <c r="AY267" s="1" t="n">
        <v>267</v>
      </c>
    </row>
    <row r="268" customFormat="false" ht="15" hidden="false" customHeight="true" outlineLevel="0" collapsed="false">
      <c r="B268" s="1" t="n">
        <v>268</v>
      </c>
      <c r="L268" s="4" t="n">
        <f aca="true">YEAR(TODAY())-H268</f>
        <v>2026</v>
      </c>
      <c r="N268" s="4" t="n">
        <f aca="true">O268+IF(AT268=1,480,0)+AA268+IF(K268="M",IF(AH268&gt;0,IF((TODAY()-AH268)/30.44&lt;6,2400,IF((TODAY()-AH268)/30.44&lt;12,1200,0)),0),0)+IF(AP268&gt;0,AP268,0)-R268-T268-S268-U268</f>
        <v>450</v>
      </c>
      <c r="O268" s="4" t="n">
        <f aca="true">IF(X268=1,1200,IF(YEAR(TODAY())-H268&lt;18,0,IF(YEAR(TODAY())-H268&lt;65,300,450)))</f>
        <v>450</v>
      </c>
      <c r="R268" s="4" t="n">
        <f aca="false">IF(MIN(AM268+IF(ISNUMBER(AN268),AN268,0),16000)&gt;=600,(MIN(AM268+IF(ISNUMBER(AN268),AN268,0),16000)-600)^0.8/10000*MIN(AM268+IF(ISNUMBER(AN268),AN268,0),16000),0)</f>
        <v>0</v>
      </c>
      <c r="S268" s="4" t="n">
        <f aca="false">IF(AB268=0,0,IF(AB268=1,30,IF(AB268=2,60,IF(AB268=3,120,IF(AB268=4,180,240)))))</f>
        <v>0</v>
      </c>
      <c r="T268" s="4" t="n">
        <f aca="false">IF(Y268&gt;0,Y268*600/MAX(1,Z268),0)</f>
        <v>0</v>
      </c>
      <c r="U268" s="4" t="n">
        <f aca="false">IF(AW268&gt;0,AW268*1000000*MAX(0,MIN(22,1+LOG10(AW268)))/100/12,0)</f>
        <v>0</v>
      </c>
      <c r="AA268" s="4" t="n">
        <f aca="true">IF(K268="W",IFERROR(IF(AND(AC268&gt;0,(TODAY()-AC268)&lt;36*365.25/12),2400/((TODAY()-AC268)/30.44/6+1),0),0)+IFERROR(IF(AND(AD268&gt;0,(TODAY()-AD268)&lt;36*365.25/12),2400/((TODAY()-AD268)/30.44/6+1),0),0)+IFERROR(IF(AND(AE268&gt;0,(TODAY()-AE268)&lt;36*365.25/12),2400/((TODAY()-AE268)/30.44/6+1),0),0)+IFERROR(IF(AND(AF268&gt;0,(TODAY()-AF268)&lt;36*365.25/12),2400/((TODAY()-AF268)/30.44/6+1),0),0)+IFERROR(IF(AND(AG268&gt;0,(TODAY()-AG268)&lt;36*365.25/12),2400/((TODAY()-AG268)/30.44/6+1),0),0),0)</f>
        <v>0</v>
      </c>
      <c r="AB268" s="4" t="n">
        <f aca="false">COUNTA(AC268:AG268)</f>
        <v>0</v>
      </c>
      <c r="AY268" s="1" t="n">
        <v>268</v>
      </c>
    </row>
    <row r="269" customFormat="false" ht="15" hidden="false" customHeight="true" outlineLevel="0" collapsed="false">
      <c r="B269" s="1" t="n">
        <v>269</v>
      </c>
      <c r="L269" s="4" t="n">
        <f aca="true">YEAR(TODAY())-H269</f>
        <v>2026</v>
      </c>
      <c r="N269" s="4" t="n">
        <f aca="true">O269+IF(AT269=1,480,0)+AA269+IF(K269="M",IF(AH269&gt;0,IF((TODAY()-AH269)/30.44&lt;6,2400,IF((TODAY()-AH269)/30.44&lt;12,1200,0)),0),0)+IF(AP269&gt;0,AP269,0)-R269-T269-S269-U269</f>
        <v>450</v>
      </c>
      <c r="O269" s="4" t="n">
        <f aca="true">IF(X269=1,1200,IF(YEAR(TODAY())-H269&lt;18,0,IF(YEAR(TODAY())-H269&lt;65,300,450)))</f>
        <v>450</v>
      </c>
      <c r="R269" s="4" t="n">
        <f aca="false">IF(MIN(AM269+IF(ISNUMBER(AN269),AN269,0),16000)&gt;=600,(MIN(AM269+IF(ISNUMBER(AN269),AN269,0),16000)-600)^0.8/10000*MIN(AM269+IF(ISNUMBER(AN269),AN269,0),16000),0)</f>
        <v>0</v>
      </c>
      <c r="S269" s="4" t="n">
        <f aca="false">IF(AB269=0,0,IF(AB269=1,30,IF(AB269=2,60,IF(AB269=3,120,IF(AB269=4,180,240)))))</f>
        <v>0</v>
      </c>
      <c r="T269" s="4" t="n">
        <f aca="false">IF(Y269&gt;0,Y269*600/MAX(1,Z269),0)</f>
        <v>0</v>
      </c>
      <c r="U269" s="4" t="n">
        <f aca="false">IF(AW269&gt;0,AW269*1000000*MAX(0,MIN(22,1+LOG10(AW269)))/100/12,0)</f>
        <v>0</v>
      </c>
      <c r="AA269" s="4" t="n">
        <f aca="true">IF(K269="W",IFERROR(IF(AND(AC269&gt;0,(TODAY()-AC269)&lt;36*365.25/12),2400/((TODAY()-AC269)/30.44/6+1),0),0)+IFERROR(IF(AND(AD269&gt;0,(TODAY()-AD269)&lt;36*365.25/12),2400/((TODAY()-AD269)/30.44/6+1),0),0)+IFERROR(IF(AND(AE269&gt;0,(TODAY()-AE269)&lt;36*365.25/12),2400/((TODAY()-AE269)/30.44/6+1),0),0)+IFERROR(IF(AND(AF269&gt;0,(TODAY()-AF269)&lt;36*365.25/12),2400/((TODAY()-AF269)/30.44/6+1),0),0)+IFERROR(IF(AND(AG269&gt;0,(TODAY()-AG269)&lt;36*365.25/12),2400/((TODAY()-AG269)/30.44/6+1),0),0),0)</f>
        <v>0</v>
      </c>
      <c r="AB269" s="4" t="n">
        <f aca="false">COUNTA(AC269:AG269)</f>
        <v>0</v>
      </c>
      <c r="AY269" s="1" t="n">
        <v>269</v>
      </c>
    </row>
    <row r="270" customFormat="false" ht="15" hidden="false" customHeight="true" outlineLevel="0" collapsed="false">
      <c r="B270" s="1" t="n">
        <v>270</v>
      </c>
      <c r="L270" s="4" t="n">
        <f aca="true">YEAR(TODAY())-H270</f>
        <v>2026</v>
      </c>
      <c r="N270" s="4" t="n">
        <f aca="true">O270+IF(AT270=1,480,0)+AA270+IF(K270="M",IF(AH270&gt;0,IF((TODAY()-AH270)/30.44&lt;6,2400,IF((TODAY()-AH270)/30.44&lt;12,1200,0)),0),0)+IF(AP270&gt;0,AP270,0)-R270-T270-S270-U270</f>
        <v>450</v>
      </c>
      <c r="O270" s="4" t="n">
        <f aca="true">IF(X270=1,1200,IF(YEAR(TODAY())-H270&lt;18,0,IF(YEAR(TODAY())-H270&lt;65,300,450)))</f>
        <v>450</v>
      </c>
      <c r="R270" s="4" t="n">
        <f aca="false">IF(MIN(AM270+IF(ISNUMBER(AN270),AN270,0),16000)&gt;=600,(MIN(AM270+IF(ISNUMBER(AN270),AN270,0),16000)-600)^0.8/10000*MIN(AM270+IF(ISNUMBER(AN270),AN270,0),16000),0)</f>
        <v>0</v>
      </c>
      <c r="S270" s="4" t="n">
        <f aca="false">IF(AB270=0,0,IF(AB270=1,30,IF(AB270=2,60,IF(AB270=3,120,IF(AB270=4,180,240)))))</f>
        <v>0</v>
      </c>
      <c r="T270" s="4" t="n">
        <f aca="false">IF(Y270&gt;0,Y270*600/MAX(1,Z270),0)</f>
        <v>0</v>
      </c>
      <c r="U270" s="4" t="n">
        <f aca="false">IF(AW270&gt;0,AW270*1000000*MAX(0,MIN(22,1+LOG10(AW270)))/100/12,0)</f>
        <v>0</v>
      </c>
      <c r="AA270" s="4" t="n">
        <f aca="true">IF(K270="W",IFERROR(IF(AND(AC270&gt;0,(TODAY()-AC270)&lt;36*365.25/12),2400/((TODAY()-AC270)/30.44/6+1),0),0)+IFERROR(IF(AND(AD270&gt;0,(TODAY()-AD270)&lt;36*365.25/12),2400/((TODAY()-AD270)/30.44/6+1),0),0)+IFERROR(IF(AND(AE270&gt;0,(TODAY()-AE270)&lt;36*365.25/12),2400/((TODAY()-AE270)/30.44/6+1),0),0)+IFERROR(IF(AND(AF270&gt;0,(TODAY()-AF270)&lt;36*365.25/12),2400/((TODAY()-AF270)/30.44/6+1),0),0)+IFERROR(IF(AND(AG270&gt;0,(TODAY()-AG270)&lt;36*365.25/12),2400/((TODAY()-AG270)/30.44/6+1),0),0),0)</f>
        <v>0</v>
      </c>
      <c r="AB270" s="4" t="n">
        <f aca="false">COUNTA(AC270:AG270)</f>
        <v>0</v>
      </c>
      <c r="AY270" s="1" t="n">
        <v>270</v>
      </c>
    </row>
    <row r="271" customFormat="false" ht="15" hidden="false" customHeight="true" outlineLevel="0" collapsed="false">
      <c r="B271" s="1" t="n">
        <v>271</v>
      </c>
      <c r="L271" s="4" t="n">
        <f aca="true">YEAR(TODAY())-H271</f>
        <v>2026</v>
      </c>
      <c r="N271" s="4" t="n">
        <f aca="true">O271+IF(AT271=1,480,0)+AA271+IF(K271="M",IF(AH271&gt;0,IF((TODAY()-AH271)/30.44&lt;6,2400,IF((TODAY()-AH271)/30.44&lt;12,1200,0)),0),0)+IF(AP271&gt;0,AP271,0)-R271-T271-S271-U271</f>
        <v>450</v>
      </c>
      <c r="O271" s="4" t="n">
        <f aca="true">IF(X271=1,1200,IF(YEAR(TODAY())-H271&lt;18,0,IF(YEAR(TODAY())-H271&lt;65,300,450)))</f>
        <v>450</v>
      </c>
      <c r="R271" s="4" t="n">
        <f aca="false">IF(MIN(AM271+IF(ISNUMBER(AN271),AN271,0),16000)&gt;=600,(MIN(AM271+IF(ISNUMBER(AN271),AN271,0),16000)-600)^0.8/10000*MIN(AM271+IF(ISNUMBER(AN271),AN271,0),16000),0)</f>
        <v>0</v>
      </c>
      <c r="S271" s="4" t="n">
        <f aca="false">IF(AB271=0,0,IF(AB271=1,30,IF(AB271=2,60,IF(AB271=3,120,IF(AB271=4,180,240)))))</f>
        <v>0</v>
      </c>
      <c r="T271" s="4" t="n">
        <f aca="false">IF(Y271&gt;0,Y271*600/MAX(1,Z271),0)</f>
        <v>0</v>
      </c>
      <c r="U271" s="4" t="n">
        <f aca="false">IF(AW271&gt;0,AW271*1000000*MAX(0,MIN(22,1+LOG10(AW271)))/100/12,0)</f>
        <v>0</v>
      </c>
      <c r="AA271" s="4" t="n">
        <f aca="true">IF(K271="W",IFERROR(IF(AND(AC271&gt;0,(TODAY()-AC271)&lt;36*365.25/12),2400/((TODAY()-AC271)/30.44/6+1),0),0)+IFERROR(IF(AND(AD271&gt;0,(TODAY()-AD271)&lt;36*365.25/12),2400/((TODAY()-AD271)/30.44/6+1),0),0)+IFERROR(IF(AND(AE271&gt;0,(TODAY()-AE271)&lt;36*365.25/12),2400/((TODAY()-AE271)/30.44/6+1),0),0)+IFERROR(IF(AND(AF271&gt;0,(TODAY()-AF271)&lt;36*365.25/12),2400/((TODAY()-AF271)/30.44/6+1),0),0)+IFERROR(IF(AND(AG271&gt;0,(TODAY()-AG271)&lt;36*365.25/12),2400/((TODAY()-AG271)/30.44/6+1),0),0),0)</f>
        <v>0</v>
      </c>
      <c r="AB271" s="4" t="n">
        <f aca="false">COUNTA(AC271:AG271)</f>
        <v>0</v>
      </c>
      <c r="AY271" s="1" t="n">
        <v>271</v>
      </c>
    </row>
    <row r="272" customFormat="false" ht="15" hidden="false" customHeight="true" outlineLevel="0" collapsed="false">
      <c r="B272" s="1" t="n">
        <v>272</v>
      </c>
      <c r="L272" s="4" t="n">
        <f aca="true">YEAR(TODAY())-H272</f>
        <v>2026</v>
      </c>
      <c r="N272" s="4" t="n">
        <f aca="true">O272+IF(AT272=1,480,0)+AA272+IF(K272="M",IF(AH272&gt;0,IF((TODAY()-AH272)/30.44&lt;6,2400,IF((TODAY()-AH272)/30.44&lt;12,1200,0)),0),0)+IF(AP272&gt;0,AP272,0)-R272-T272-S272-U272</f>
        <v>450</v>
      </c>
      <c r="O272" s="4" t="n">
        <f aca="true">IF(X272=1,1200,IF(YEAR(TODAY())-H272&lt;18,0,IF(YEAR(TODAY())-H272&lt;65,300,450)))</f>
        <v>450</v>
      </c>
      <c r="R272" s="4" t="n">
        <f aca="false">IF(MIN(AM272+IF(ISNUMBER(AN272),AN272,0),16000)&gt;=600,(MIN(AM272+IF(ISNUMBER(AN272),AN272,0),16000)-600)^0.8/10000*MIN(AM272+IF(ISNUMBER(AN272),AN272,0),16000),0)</f>
        <v>0</v>
      </c>
      <c r="S272" s="4" t="n">
        <f aca="false">IF(AB272=0,0,IF(AB272=1,30,IF(AB272=2,60,IF(AB272=3,120,IF(AB272=4,180,240)))))</f>
        <v>0</v>
      </c>
      <c r="T272" s="4" t="n">
        <f aca="false">IF(Y272&gt;0,Y272*600/MAX(1,Z272),0)</f>
        <v>0</v>
      </c>
      <c r="U272" s="4" t="n">
        <f aca="false">IF(AW272&gt;0,AW272*1000000*MAX(0,MIN(22,1+LOG10(AW272)))/100/12,0)</f>
        <v>0</v>
      </c>
      <c r="AA272" s="4" t="n">
        <f aca="true">IF(K272="W",IFERROR(IF(AND(AC272&gt;0,(TODAY()-AC272)&lt;36*365.25/12),2400/((TODAY()-AC272)/30.44/6+1),0),0)+IFERROR(IF(AND(AD272&gt;0,(TODAY()-AD272)&lt;36*365.25/12),2400/((TODAY()-AD272)/30.44/6+1),0),0)+IFERROR(IF(AND(AE272&gt;0,(TODAY()-AE272)&lt;36*365.25/12),2400/((TODAY()-AE272)/30.44/6+1),0),0)+IFERROR(IF(AND(AF272&gt;0,(TODAY()-AF272)&lt;36*365.25/12),2400/((TODAY()-AF272)/30.44/6+1),0),0)+IFERROR(IF(AND(AG272&gt;0,(TODAY()-AG272)&lt;36*365.25/12),2400/((TODAY()-AG272)/30.44/6+1),0),0),0)</f>
        <v>0</v>
      </c>
      <c r="AB272" s="4" t="n">
        <f aca="false">COUNTA(AC272:AG272)</f>
        <v>0</v>
      </c>
      <c r="AY272" s="1" t="n">
        <v>272</v>
      </c>
    </row>
    <row r="273" customFormat="false" ht="15" hidden="false" customHeight="true" outlineLevel="0" collapsed="false">
      <c r="B273" s="1" t="n">
        <v>273</v>
      </c>
      <c r="L273" s="4" t="n">
        <f aca="true">YEAR(TODAY())-H273</f>
        <v>2026</v>
      </c>
      <c r="N273" s="4" t="n">
        <f aca="true">O273+IF(AT273=1,480,0)+AA273+IF(K273="M",IF(AH273&gt;0,IF((TODAY()-AH273)/30.44&lt;6,2400,IF((TODAY()-AH273)/30.44&lt;12,1200,0)),0),0)+IF(AP273&gt;0,AP273,0)-R273-T273-S273-U273</f>
        <v>450</v>
      </c>
      <c r="O273" s="4" t="n">
        <f aca="true">IF(X273=1,1200,IF(YEAR(TODAY())-H273&lt;18,0,IF(YEAR(TODAY())-H273&lt;65,300,450)))</f>
        <v>450</v>
      </c>
      <c r="R273" s="4" t="n">
        <f aca="false">IF(MIN(AM273+IF(ISNUMBER(AN273),AN273,0),16000)&gt;=600,(MIN(AM273+IF(ISNUMBER(AN273),AN273,0),16000)-600)^0.8/10000*MIN(AM273+IF(ISNUMBER(AN273),AN273,0),16000),0)</f>
        <v>0</v>
      </c>
      <c r="S273" s="4" t="n">
        <f aca="false">IF(AB273=0,0,IF(AB273=1,30,IF(AB273=2,60,IF(AB273=3,120,IF(AB273=4,180,240)))))</f>
        <v>0</v>
      </c>
      <c r="T273" s="4" t="n">
        <f aca="false">IF(Y273&gt;0,Y273*600/MAX(1,Z273),0)</f>
        <v>0</v>
      </c>
      <c r="U273" s="4" t="n">
        <f aca="false">IF(AW273&gt;0,AW273*1000000*MAX(0,MIN(22,1+LOG10(AW273)))/100/12,0)</f>
        <v>0</v>
      </c>
      <c r="AA273" s="4" t="n">
        <f aca="true">IF(K273="W",IFERROR(IF(AND(AC273&gt;0,(TODAY()-AC273)&lt;36*365.25/12),2400/((TODAY()-AC273)/30.44/6+1),0),0)+IFERROR(IF(AND(AD273&gt;0,(TODAY()-AD273)&lt;36*365.25/12),2400/((TODAY()-AD273)/30.44/6+1),0),0)+IFERROR(IF(AND(AE273&gt;0,(TODAY()-AE273)&lt;36*365.25/12),2400/((TODAY()-AE273)/30.44/6+1),0),0)+IFERROR(IF(AND(AF273&gt;0,(TODAY()-AF273)&lt;36*365.25/12),2400/((TODAY()-AF273)/30.44/6+1),0),0)+IFERROR(IF(AND(AG273&gt;0,(TODAY()-AG273)&lt;36*365.25/12),2400/((TODAY()-AG273)/30.44/6+1),0),0),0)</f>
        <v>0</v>
      </c>
      <c r="AB273" s="4" t="n">
        <f aca="false">COUNTA(AC273:AG273)</f>
        <v>0</v>
      </c>
      <c r="AY273" s="1" t="n">
        <v>273</v>
      </c>
    </row>
    <row r="274" customFormat="false" ht="15" hidden="false" customHeight="true" outlineLevel="0" collapsed="false">
      <c r="B274" s="1" t="n">
        <v>274</v>
      </c>
      <c r="L274" s="4" t="n">
        <f aca="true">YEAR(TODAY())-H274</f>
        <v>2026</v>
      </c>
      <c r="N274" s="4" t="n">
        <f aca="true">O274+IF(AT274=1,480,0)+AA274+IF(K274="M",IF(AH274&gt;0,IF((TODAY()-AH274)/30.44&lt;6,2400,IF((TODAY()-AH274)/30.44&lt;12,1200,0)),0),0)+IF(AP274&gt;0,AP274,0)-R274-T274-S274-U274</f>
        <v>450</v>
      </c>
      <c r="O274" s="4" t="n">
        <f aca="true">IF(X274=1,1200,IF(YEAR(TODAY())-H274&lt;18,0,IF(YEAR(TODAY())-H274&lt;65,300,450)))</f>
        <v>450</v>
      </c>
      <c r="R274" s="4" t="n">
        <f aca="false">IF(MIN(AM274+IF(ISNUMBER(AN274),AN274,0),16000)&gt;=600,(MIN(AM274+IF(ISNUMBER(AN274),AN274,0),16000)-600)^0.8/10000*MIN(AM274+IF(ISNUMBER(AN274),AN274,0),16000),0)</f>
        <v>0</v>
      </c>
      <c r="S274" s="4" t="n">
        <f aca="false">IF(AB274=0,0,IF(AB274=1,30,IF(AB274=2,60,IF(AB274=3,120,IF(AB274=4,180,240)))))</f>
        <v>0</v>
      </c>
      <c r="T274" s="4" t="n">
        <f aca="false">IF(Y274&gt;0,Y274*600/MAX(1,Z274),0)</f>
        <v>0</v>
      </c>
      <c r="U274" s="4" t="n">
        <f aca="false">IF(AW274&gt;0,AW274*1000000*MAX(0,MIN(22,1+LOG10(AW274)))/100/12,0)</f>
        <v>0</v>
      </c>
      <c r="AA274" s="4" t="n">
        <f aca="true">IF(K274="W",IFERROR(IF(AND(AC274&gt;0,(TODAY()-AC274)&lt;36*365.25/12),2400/((TODAY()-AC274)/30.44/6+1),0),0)+IFERROR(IF(AND(AD274&gt;0,(TODAY()-AD274)&lt;36*365.25/12),2400/((TODAY()-AD274)/30.44/6+1),0),0)+IFERROR(IF(AND(AE274&gt;0,(TODAY()-AE274)&lt;36*365.25/12),2400/((TODAY()-AE274)/30.44/6+1),0),0)+IFERROR(IF(AND(AF274&gt;0,(TODAY()-AF274)&lt;36*365.25/12),2400/((TODAY()-AF274)/30.44/6+1),0),0)+IFERROR(IF(AND(AG274&gt;0,(TODAY()-AG274)&lt;36*365.25/12),2400/((TODAY()-AG274)/30.44/6+1),0),0),0)</f>
        <v>0</v>
      </c>
      <c r="AB274" s="4" t="n">
        <f aca="false">COUNTA(AC274:AG274)</f>
        <v>0</v>
      </c>
      <c r="AY274" s="1" t="n">
        <v>274</v>
      </c>
    </row>
    <row r="275" customFormat="false" ht="15" hidden="false" customHeight="true" outlineLevel="0" collapsed="false">
      <c r="B275" s="1" t="n">
        <v>275</v>
      </c>
      <c r="L275" s="4" t="n">
        <f aca="true">YEAR(TODAY())-H275</f>
        <v>2026</v>
      </c>
      <c r="N275" s="4" t="n">
        <f aca="true">O275+IF(AT275=1,480,0)+AA275+IF(K275="M",IF(AH275&gt;0,IF((TODAY()-AH275)/30.44&lt;6,2400,IF((TODAY()-AH275)/30.44&lt;12,1200,0)),0),0)+IF(AP275&gt;0,AP275,0)-R275-T275-S275-U275</f>
        <v>450</v>
      </c>
      <c r="O275" s="4" t="n">
        <f aca="true">IF(X275=1,1200,IF(YEAR(TODAY())-H275&lt;18,0,IF(YEAR(TODAY())-H275&lt;65,300,450)))</f>
        <v>450</v>
      </c>
      <c r="R275" s="4" t="n">
        <f aca="false">IF(MIN(AM275+IF(ISNUMBER(AN275),AN275,0),16000)&gt;=600,(MIN(AM275+IF(ISNUMBER(AN275),AN275,0),16000)-600)^0.8/10000*MIN(AM275+IF(ISNUMBER(AN275),AN275,0),16000),0)</f>
        <v>0</v>
      </c>
      <c r="S275" s="4" t="n">
        <f aca="false">IF(AB275=0,0,IF(AB275=1,30,IF(AB275=2,60,IF(AB275=3,120,IF(AB275=4,180,240)))))</f>
        <v>0</v>
      </c>
      <c r="T275" s="4" t="n">
        <f aca="false">IF(Y275&gt;0,Y275*600/MAX(1,Z275),0)</f>
        <v>0</v>
      </c>
      <c r="U275" s="4" t="n">
        <f aca="false">IF(AW275&gt;0,AW275*1000000*MAX(0,MIN(22,1+LOG10(AW275)))/100/12,0)</f>
        <v>0</v>
      </c>
      <c r="AA275" s="4" t="n">
        <f aca="true">IF(K275="W",IFERROR(IF(AND(AC275&gt;0,(TODAY()-AC275)&lt;36*365.25/12),2400/((TODAY()-AC275)/30.44/6+1),0),0)+IFERROR(IF(AND(AD275&gt;0,(TODAY()-AD275)&lt;36*365.25/12),2400/((TODAY()-AD275)/30.44/6+1),0),0)+IFERROR(IF(AND(AE275&gt;0,(TODAY()-AE275)&lt;36*365.25/12),2400/((TODAY()-AE275)/30.44/6+1),0),0)+IFERROR(IF(AND(AF275&gt;0,(TODAY()-AF275)&lt;36*365.25/12),2400/((TODAY()-AF275)/30.44/6+1),0),0)+IFERROR(IF(AND(AG275&gt;0,(TODAY()-AG275)&lt;36*365.25/12),2400/((TODAY()-AG275)/30.44/6+1),0),0),0)</f>
        <v>0</v>
      </c>
      <c r="AB275" s="4" t="n">
        <f aca="false">COUNTA(AC275:AG275)</f>
        <v>0</v>
      </c>
      <c r="AY275" s="1" t="n">
        <v>275</v>
      </c>
    </row>
    <row r="276" customFormat="false" ht="15" hidden="false" customHeight="true" outlineLevel="0" collapsed="false">
      <c r="B276" s="1" t="n">
        <v>276</v>
      </c>
      <c r="L276" s="4" t="n">
        <f aca="true">YEAR(TODAY())-H276</f>
        <v>2026</v>
      </c>
      <c r="N276" s="4" t="n">
        <f aca="true">O276+IF(AT276=1,480,0)+AA276+IF(K276="M",IF(AH276&gt;0,IF((TODAY()-AH276)/30.44&lt;6,2400,IF((TODAY()-AH276)/30.44&lt;12,1200,0)),0),0)+IF(AP276&gt;0,AP276,0)-R276-T276-S276-U276</f>
        <v>450</v>
      </c>
      <c r="O276" s="4" t="n">
        <f aca="true">IF(X276=1,1200,IF(YEAR(TODAY())-H276&lt;18,0,IF(YEAR(TODAY())-H276&lt;65,300,450)))</f>
        <v>450</v>
      </c>
      <c r="R276" s="4" t="n">
        <f aca="false">IF(MIN(AM276+IF(ISNUMBER(AN276),AN276,0),16000)&gt;=600,(MIN(AM276+IF(ISNUMBER(AN276),AN276,0),16000)-600)^0.8/10000*MIN(AM276+IF(ISNUMBER(AN276),AN276,0),16000),0)</f>
        <v>0</v>
      </c>
      <c r="S276" s="4" t="n">
        <f aca="false">IF(AB276=0,0,IF(AB276=1,30,IF(AB276=2,60,IF(AB276=3,120,IF(AB276=4,180,240)))))</f>
        <v>0</v>
      </c>
      <c r="T276" s="4" t="n">
        <f aca="false">IF(Y276&gt;0,Y276*600/MAX(1,Z276),0)</f>
        <v>0</v>
      </c>
      <c r="U276" s="4" t="n">
        <f aca="false">IF(AW276&gt;0,AW276*1000000*MAX(0,MIN(22,1+LOG10(AW276)))/100/12,0)</f>
        <v>0</v>
      </c>
      <c r="AA276" s="4" t="n">
        <f aca="true">IF(K276="W",IFERROR(IF(AND(AC276&gt;0,(TODAY()-AC276)&lt;36*365.25/12),2400/((TODAY()-AC276)/30.44/6+1),0),0)+IFERROR(IF(AND(AD276&gt;0,(TODAY()-AD276)&lt;36*365.25/12),2400/((TODAY()-AD276)/30.44/6+1),0),0)+IFERROR(IF(AND(AE276&gt;0,(TODAY()-AE276)&lt;36*365.25/12),2400/((TODAY()-AE276)/30.44/6+1),0),0)+IFERROR(IF(AND(AF276&gt;0,(TODAY()-AF276)&lt;36*365.25/12),2400/((TODAY()-AF276)/30.44/6+1),0),0)+IFERROR(IF(AND(AG276&gt;0,(TODAY()-AG276)&lt;36*365.25/12),2400/((TODAY()-AG276)/30.44/6+1),0),0),0)</f>
        <v>0</v>
      </c>
      <c r="AB276" s="4" t="n">
        <f aca="false">COUNTA(AC276:AG276)</f>
        <v>0</v>
      </c>
      <c r="AY276" s="1" t="n">
        <v>276</v>
      </c>
    </row>
    <row r="277" customFormat="false" ht="15" hidden="false" customHeight="true" outlineLevel="0" collapsed="false">
      <c r="B277" s="1" t="n">
        <v>277</v>
      </c>
      <c r="L277" s="4" t="n">
        <f aca="true">YEAR(TODAY())-H277</f>
        <v>2026</v>
      </c>
      <c r="N277" s="4" t="n">
        <f aca="true">O277+IF(AT277=1,480,0)+AA277+IF(K277="M",IF(AH277&gt;0,IF((TODAY()-AH277)/30.44&lt;6,2400,IF((TODAY()-AH277)/30.44&lt;12,1200,0)),0),0)+IF(AP277&gt;0,AP277,0)-R277-T277-S277-U277</f>
        <v>450</v>
      </c>
      <c r="O277" s="4" t="n">
        <f aca="true">IF(X277=1,1200,IF(YEAR(TODAY())-H277&lt;18,0,IF(YEAR(TODAY())-H277&lt;65,300,450)))</f>
        <v>450</v>
      </c>
      <c r="R277" s="4" t="n">
        <f aca="false">IF(MIN(AM277+IF(ISNUMBER(AN277),AN277,0),16000)&gt;=600,(MIN(AM277+IF(ISNUMBER(AN277),AN277,0),16000)-600)^0.8/10000*MIN(AM277+IF(ISNUMBER(AN277),AN277,0),16000),0)</f>
        <v>0</v>
      </c>
      <c r="S277" s="4" t="n">
        <f aca="false">IF(AB277=0,0,IF(AB277=1,30,IF(AB277=2,60,IF(AB277=3,120,IF(AB277=4,180,240)))))</f>
        <v>0</v>
      </c>
      <c r="T277" s="4" t="n">
        <f aca="false">IF(Y277&gt;0,Y277*600/MAX(1,Z277),0)</f>
        <v>0</v>
      </c>
      <c r="U277" s="4" t="n">
        <f aca="false">IF(AW277&gt;0,AW277*1000000*MAX(0,MIN(22,1+LOG10(AW277)))/100/12,0)</f>
        <v>0</v>
      </c>
      <c r="AA277" s="4" t="n">
        <f aca="true">IF(K277="W",IFERROR(IF(AND(AC277&gt;0,(TODAY()-AC277)&lt;36*365.25/12),2400/((TODAY()-AC277)/30.44/6+1),0),0)+IFERROR(IF(AND(AD277&gt;0,(TODAY()-AD277)&lt;36*365.25/12),2400/((TODAY()-AD277)/30.44/6+1),0),0)+IFERROR(IF(AND(AE277&gt;0,(TODAY()-AE277)&lt;36*365.25/12),2400/((TODAY()-AE277)/30.44/6+1),0),0)+IFERROR(IF(AND(AF277&gt;0,(TODAY()-AF277)&lt;36*365.25/12),2400/((TODAY()-AF277)/30.44/6+1),0),0)+IFERROR(IF(AND(AG277&gt;0,(TODAY()-AG277)&lt;36*365.25/12),2400/((TODAY()-AG277)/30.44/6+1),0),0),0)</f>
        <v>0</v>
      </c>
      <c r="AB277" s="4" t="n">
        <f aca="false">COUNTA(AC277:AG277)</f>
        <v>0</v>
      </c>
      <c r="AY277" s="1" t="n">
        <v>277</v>
      </c>
    </row>
    <row r="278" customFormat="false" ht="15" hidden="false" customHeight="true" outlineLevel="0" collapsed="false">
      <c r="B278" s="1" t="n">
        <v>278</v>
      </c>
      <c r="L278" s="4" t="n">
        <f aca="true">YEAR(TODAY())-H278</f>
        <v>2026</v>
      </c>
      <c r="N278" s="4" t="n">
        <f aca="true">O278+IF(AT278=1,480,0)+AA278+IF(K278="M",IF(AH278&gt;0,IF((TODAY()-AH278)/30.44&lt;6,2400,IF((TODAY()-AH278)/30.44&lt;12,1200,0)),0),0)+IF(AP278&gt;0,AP278,0)-R278-T278-S278-U278</f>
        <v>450</v>
      </c>
      <c r="O278" s="4" t="n">
        <f aca="true">IF(X278=1,1200,IF(YEAR(TODAY())-H278&lt;18,0,IF(YEAR(TODAY())-H278&lt;65,300,450)))</f>
        <v>450</v>
      </c>
      <c r="R278" s="4" t="n">
        <f aca="false">IF(MIN(AM278+IF(ISNUMBER(AN278),AN278,0),16000)&gt;=600,(MIN(AM278+IF(ISNUMBER(AN278),AN278,0),16000)-600)^0.8/10000*MIN(AM278+IF(ISNUMBER(AN278),AN278,0),16000),0)</f>
        <v>0</v>
      </c>
      <c r="S278" s="4" t="n">
        <f aca="false">IF(AB278=0,0,IF(AB278=1,30,IF(AB278=2,60,IF(AB278=3,120,IF(AB278=4,180,240)))))</f>
        <v>0</v>
      </c>
      <c r="T278" s="4" t="n">
        <f aca="false">IF(Y278&gt;0,Y278*600/MAX(1,Z278),0)</f>
        <v>0</v>
      </c>
      <c r="U278" s="4" t="n">
        <f aca="false">IF(AW278&gt;0,AW278*1000000*MAX(0,MIN(22,1+LOG10(AW278)))/100/12,0)</f>
        <v>0</v>
      </c>
      <c r="AA278" s="4" t="n">
        <f aca="true">IF(K278="W",IFERROR(IF(AND(AC278&gt;0,(TODAY()-AC278)&lt;36*365.25/12),2400/((TODAY()-AC278)/30.44/6+1),0),0)+IFERROR(IF(AND(AD278&gt;0,(TODAY()-AD278)&lt;36*365.25/12),2400/((TODAY()-AD278)/30.44/6+1),0),0)+IFERROR(IF(AND(AE278&gt;0,(TODAY()-AE278)&lt;36*365.25/12),2400/((TODAY()-AE278)/30.44/6+1),0),0)+IFERROR(IF(AND(AF278&gt;0,(TODAY()-AF278)&lt;36*365.25/12),2400/((TODAY()-AF278)/30.44/6+1),0),0)+IFERROR(IF(AND(AG278&gt;0,(TODAY()-AG278)&lt;36*365.25/12),2400/((TODAY()-AG278)/30.44/6+1),0),0),0)</f>
        <v>0</v>
      </c>
      <c r="AB278" s="4" t="n">
        <f aca="false">COUNTA(AC278:AG278)</f>
        <v>0</v>
      </c>
      <c r="AY278" s="1" t="n">
        <v>278</v>
      </c>
    </row>
    <row r="279" customFormat="false" ht="15" hidden="false" customHeight="true" outlineLevel="0" collapsed="false">
      <c r="B279" s="1" t="n">
        <v>279</v>
      </c>
      <c r="L279" s="4" t="n">
        <f aca="true">YEAR(TODAY())-H279</f>
        <v>2026</v>
      </c>
      <c r="N279" s="4" t="n">
        <f aca="true">O279+IF(AT279=1,480,0)+AA279+IF(K279="M",IF(AH279&gt;0,IF((TODAY()-AH279)/30.44&lt;6,2400,IF((TODAY()-AH279)/30.44&lt;12,1200,0)),0),0)+IF(AP279&gt;0,AP279,0)-R279-T279-S279-U279</f>
        <v>450</v>
      </c>
      <c r="O279" s="4" t="n">
        <f aca="true">IF(X279=1,1200,IF(YEAR(TODAY())-H279&lt;18,0,IF(YEAR(TODAY())-H279&lt;65,300,450)))</f>
        <v>450</v>
      </c>
      <c r="R279" s="4" t="n">
        <f aca="false">IF(MIN(AM279+IF(ISNUMBER(AN279),AN279,0),16000)&gt;=600,(MIN(AM279+IF(ISNUMBER(AN279),AN279,0),16000)-600)^0.8/10000*MIN(AM279+IF(ISNUMBER(AN279),AN279,0),16000),0)</f>
        <v>0</v>
      </c>
      <c r="S279" s="4" t="n">
        <f aca="false">IF(AB279=0,0,IF(AB279=1,30,IF(AB279=2,60,IF(AB279=3,120,IF(AB279=4,180,240)))))</f>
        <v>0</v>
      </c>
      <c r="T279" s="4" t="n">
        <f aca="false">IF(Y279&gt;0,Y279*600/MAX(1,Z279),0)</f>
        <v>0</v>
      </c>
      <c r="U279" s="4" t="n">
        <f aca="false">IF(AW279&gt;0,AW279*1000000*MAX(0,MIN(22,1+LOG10(AW279)))/100/12,0)</f>
        <v>0</v>
      </c>
      <c r="AA279" s="4" t="n">
        <f aca="true">IF(K279="W",IFERROR(IF(AND(AC279&gt;0,(TODAY()-AC279)&lt;36*365.25/12),2400/((TODAY()-AC279)/30.44/6+1),0),0)+IFERROR(IF(AND(AD279&gt;0,(TODAY()-AD279)&lt;36*365.25/12),2400/((TODAY()-AD279)/30.44/6+1),0),0)+IFERROR(IF(AND(AE279&gt;0,(TODAY()-AE279)&lt;36*365.25/12),2400/((TODAY()-AE279)/30.44/6+1),0),0)+IFERROR(IF(AND(AF279&gt;0,(TODAY()-AF279)&lt;36*365.25/12),2400/((TODAY()-AF279)/30.44/6+1),0),0)+IFERROR(IF(AND(AG279&gt;0,(TODAY()-AG279)&lt;36*365.25/12),2400/((TODAY()-AG279)/30.44/6+1),0),0),0)</f>
        <v>0</v>
      </c>
      <c r="AB279" s="4" t="n">
        <f aca="false">COUNTA(AC279:AG279)</f>
        <v>0</v>
      </c>
      <c r="AY279" s="1" t="n">
        <v>279</v>
      </c>
    </row>
    <row r="280" customFormat="false" ht="15" hidden="false" customHeight="true" outlineLevel="0" collapsed="false">
      <c r="B280" s="1" t="n">
        <v>280</v>
      </c>
      <c r="L280" s="4" t="n">
        <f aca="true">YEAR(TODAY())-H280</f>
        <v>2026</v>
      </c>
      <c r="N280" s="4" t="n">
        <f aca="true">O280+IF(AT280=1,480,0)+AA280+IF(K280="M",IF(AH280&gt;0,IF((TODAY()-AH280)/30.44&lt;6,2400,IF((TODAY()-AH280)/30.44&lt;12,1200,0)),0),0)+IF(AP280&gt;0,AP280,0)-R280-T280-S280-U280</f>
        <v>450</v>
      </c>
      <c r="O280" s="4" t="n">
        <f aca="true">IF(X280=1,1200,IF(YEAR(TODAY())-H280&lt;18,0,IF(YEAR(TODAY())-H280&lt;65,300,450)))</f>
        <v>450</v>
      </c>
      <c r="R280" s="4" t="n">
        <f aca="false">IF(MIN(AM280+IF(ISNUMBER(AN280),AN280,0),16000)&gt;=600,(MIN(AM280+IF(ISNUMBER(AN280),AN280,0),16000)-600)^0.8/10000*MIN(AM280+IF(ISNUMBER(AN280),AN280,0),16000),0)</f>
        <v>0</v>
      </c>
      <c r="S280" s="4" t="n">
        <f aca="false">IF(AB280=0,0,IF(AB280=1,30,IF(AB280=2,60,IF(AB280=3,120,IF(AB280=4,180,240)))))</f>
        <v>0</v>
      </c>
      <c r="T280" s="4" t="n">
        <f aca="false">IF(Y280&gt;0,Y280*600/MAX(1,Z280),0)</f>
        <v>0</v>
      </c>
      <c r="U280" s="4" t="n">
        <f aca="false">IF(AW280&gt;0,AW280*1000000*MAX(0,MIN(22,1+LOG10(AW280)))/100/12,0)</f>
        <v>0</v>
      </c>
      <c r="AA280" s="4" t="n">
        <f aca="true">IF(K280="W",IFERROR(IF(AND(AC280&gt;0,(TODAY()-AC280)&lt;36*365.25/12),2400/((TODAY()-AC280)/30.44/6+1),0),0)+IFERROR(IF(AND(AD280&gt;0,(TODAY()-AD280)&lt;36*365.25/12),2400/((TODAY()-AD280)/30.44/6+1),0),0)+IFERROR(IF(AND(AE280&gt;0,(TODAY()-AE280)&lt;36*365.25/12),2400/((TODAY()-AE280)/30.44/6+1),0),0)+IFERROR(IF(AND(AF280&gt;0,(TODAY()-AF280)&lt;36*365.25/12),2400/((TODAY()-AF280)/30.44/6+1),0),0)+IFERROR(IF(AND(AG280&gt;0,(TODAY()-AG280)&lt;36*365.25/12),2400/((TODAY()-AG280)/30.44/6+1),0),0),0)</f>
        <v>0</v>
      </c>
      <c r="AB280" s="4" t="n">
        <f aca="false">COUNTA(AC280:AG280)</f>
        <v>0</v>
      </c>
      <c r="AY280" s="1" t="n">
        <v>280</v>
      </c>
    </row>
    <row r="281" customFormat="false" ht="15" hidden="false" customHeight="true" outlineLevel="0" collapsed="false">
      <c r="B281" s="1" t="n">
        <v>281</v>
      </c>
      <c r="L281" s="4" t="n">
        <f aca="true">YEAR(TODAY())-H281</f>
        <v>2026</v>
      </c>
      <c r="N281" s="4" t="n">
        <f aca="true">O281+IF(AT281=1,480,0)+AA281+IF(K281="M",IF(AH281&gt;0,IF((TODAY()-AH281)/30.44&lt;6,2400,IF((TODAY()-AH281)/30.44&lt;12,1200,0)),0),0)+IF(AP281&gt;0,AP281,0)-R281-T281-S281-U281</f>
        <v>450</v>
      </c>
      <c r="O281" s="4" t="n">
        <f aca="true">IF(X281=1,1200,IF(YEAR(TODAY())-H281&lt;18,0,IF(YEAR(TODAY())-H281&lt;65,300,450)))</f>
        <v>450</v>
      </c>
      <c r="R281" s="4" t="n">
        <f aca="false">IF(MIN(AM281+IF(ISNUMBER(AN281),AN281,0),16000)&gt;=600,(MIN(AM281+IF(ISNUMBER(AN281),AN281,0),16000)-600)^0.8/10000*MIN(AM281+IF(ISNUMBER(AN281),AN281,0),16000),0)</f>
        <v>0</v>
      </c>
      <c r="S281" s="4" t="n">
        <f aca="false">IF(AB281=0,0,IF(AB281=1,30,IF(AB281=2,60,IF(AB281=3,120,IF(AB281=4,180,240)))))</f>
        <v>0</v>
      </c>
      <c r="T281" s="4" t="n">
        <f aca="false">IF(Y281&gt;0,Y281*600/MAX(1,Z281),0)</f>
        <v>0</v>
      </c>
      <c r="U281" s="4" t="n">
        <f aca="false">IF(AW281&gt;0,AW281*1000000*MAX(0,MIN(22,1+LOG10(AW281)))/100/12,0)</f>
        <v>0</v>
      </c>
      <c r="AA281" s="4" t="n">
        <f aca="true">IF(K281="W",IFERROR(IF(AND(AC281&gt;0,(TODAY()-AC281)&lt;36*365.25/12),2400/((TODAY()-AC281)/30.44/6+1),0),0)+IFERROR(IF(AND(AD281&gt;0,(TODAY()-AD281)&lt;36*365.25/12),2400/((TODAY()-AD281)/30.44/6+1),0),0)+IFERROR(IF(AND(AE281&gt;0,(TODAY()-AE281)&lt;36*365.25/12),2400/((TODAY()-AE281)/30.44/6+1),0),0)+IFERROR(IF(AND(AF281&gt;0,(TODAY()-AF281)&lt;36*365.25/12),2400/((TODAY()-AF281)/30.44/6+1),0),0)+IFERROR(IF(AND(AG281&gt;0,(TODAY()-AG281)&lt;36*365.25/12),2400/((TODAY()-AG281)/30.44/6+1),0),0),0)</f>
        <v>0</v>
      </c>
      <c r="AB281" s="4" t="n">
        <f aca="false">COUNTA(AC281:AG281)</f>
        <v>0</v>
      </c>
      <c r="AY281" s="1" t="n">
        <v>281</v>
      </c>
    </row>
    <row r="282" customFormat="false" ht="15" hidden="false" customHeight="true" outlineLevel="0" collapsed="false">
      <c r="B282" s="1" t="n">
        <v>282</v>
      </c>
      <c r="L282" s="4" t="n">
        <f aca="true">YEAR(TODAY())-H282</f>
        <v>2026</v>
      </c>
      <c r="N282" s="4" t="n">
        <f aca="true">O282+IF(AT282=1,480,0)+AA282+IF(K282="M",IF(AH282&gt;0,IF((TODAY()-AH282)/30.44&lt;6,2400,IF((TODAY()-AH282)/30.44&lt;12,1200,0)),0),0)+IF(AP282&gt;0,AP282,0)-R282-T282-S282-U282</f>
        <v>450</v>
      </c>
      <c r="O282" s="4" t="n">
        <f aca="true">IF(X282=1,1200,IF(YEAR(TODAY())-H282&lt;18,0,IF(YEAR(TODAY())-H282&lt;65,300,450)))</f>
        <v>450</v>
      </c>
      <c r="R282" s="4" t="n">
        <f aca="false">IF(MIN(AM282+IF(ISNUMBER(AN282),AN282,0),16000)&gt;=600,(MIN(AM282+IF(ISNUMBER(AN282),AN282,0),16000)-600)^0.8/10000*MIN(AM282+IF(ISNUMBER(AN282),AN282,0),16000),0)</f>
        <v>0</v>
      </c>
      <c r="S282" s="4" t="n">
        <f aca="false">IF(AB282=0,0,IF(AB282=1,30,IF(AB282=2,60,IF(AB282=3,120,IF(AB282=4,180,240)))))</f>
        <v>0</v>
      </c>
      <c r="T282" s="4" t="n">
        <f aca="false">IF(Y282&gt;0,Y282*600/MAX(1,Z282),0)</f>
        <v>0</v>
      </c>
      <c r="U282" s="4" t="n">
        <f aca="false">IF(AW282&gt;0,AW282*1000000*MAX(0,MIN(22,1+LOG10(AW282)))/100/12,0)</f>
        <v>0</v>
      </c>
      <c r="AA282" s="4" t="n">
        <f aca="true">IF(K282="W",IFERROR(IF(AND(AC282&gt;0,(TODAY()-AC282)&lt;36*365.25/12),2400/((TODAY()-AC282)/30.44/6+1),0),0)+IFERROR(IF(AND(AD282&gt;0,(TODAY()-AD282)&lt;36*365.25/12),2400/((TODAY()-AD282)/30.44/6+1),0),0)+IFERROR(IF(AND(AE282&gt;0,(TODAY()-AE282)&lt;36*365.25/12),2400/((TODAY()-AE282)/30.44/6+1),0),0)+IFERROR(IF(AND(AF282&gt;0,(TODAY()-AF282)&lt;36*365.25/12),2400/((TODAY()-AF282)/30.44/6+1),0),0)+IFERROR(IF(AND(AG282&gt;0,(TODAY()-AG282)&lt;36*365.25/12),2400/((TODAY()-AG282)/30.44/6+1),0),0),0)</f>
        <v>0</v>
      </c>
      <c r="AB282" s="4" t="n">
        <f aca="false">COUNTA(AC282:AG282)</f>
        <v>0</v>
      </c>
      <c r="AY282" s="1" t="n">
        <v>282</v>
      </c>
    </row>
    <row r="283" customFormat="false" ht="15" hidden="false" customHeight="true" outlineLevel="0" collapsed="false">
      <c r="B283" s="1" t="n">
        <v>283</v>
      </c>
      <c r="L283" s="4" t="n">
        <f aca="true">YEAR(TODAY())-H283</f>
        <v>2026</v>
      </c>
      <c r="N283" s="4" t="n">
        <f aca="true">O283+IF(AT283=1,480,0)+AA283+IF(K283="M",IF(AH283&gt;0,IF((TODAY()-AH283)/30.44&lt;6,2400,IF((TODAY()-AH283)/30.44&lt;12,1200,0)),0),0)+IF(AP283&gt;0,AP283,0)-R283-T283-S283-U283</f>
        <v>450</v>
      </c>
      <c r="O283" s="4" t="n">
        <f aca="true">IF(X283=1,1200,IF(YEAR(TODAY())-H283&lt;18,0,IF(YEAR(TODAY())-H283&lt;65,300,450)))</f>
        <v>450</v>
      </c>
      <c r="R283" s="4" t="n">
        <f aca="false">IF(MIN(AM283+IF(ISNUMBER(AN283),AN283,0),16000)&gt;=600,(MIN(AM283+IF(ISNUMBER(AN283),AN283,0),16000)-600)^0.8/10000*MIN(AM283+IF(ISNUMBER(AN283),AN283,0),16000),0)</f>
        <v>0</v>
      </c>
      <c r="S283" s="4" t="n">
        <f aca="false">IF(AB283=0,0,IF(AB283=1,30,IF(AB283=2,60,IF(AB283=3,120,IF(AB283=4,180,240)))))</f>
        <v>0</v>
      </c>
      <c r="T283" s="4" t="n">
        <f aca="false">IF(Y283&gt;0,Y283*600/MAX(1,Z283),0)</f>
        <v>0</v>
      </c>
      <c r="U283" s="4" t="n">
        <f aca="false">IF(AW283&gt;0,AW283*1000000*MAX(0,MIN(22,1+LOG10(AW283)))/100/12,0)</f>
        <v>0</v>
      </c>
      <c r="AA283" s="4" t="n">
        <f aca="true">IF(K283="W",IFERROR(IF(AND(AC283&gt;0,(TODAY()-AC283)&lt;36*365.25/12),2400/((TODAY()-AC283)/30.44/6+1),0),0)+IFERROR(IF(AND(AD283&gt;0,(TODAY()-AD283)&lt;36*365.25/12),2400/((TODAY()-AD283)/30.44/6+1),0),0)+IFERROR(IF(AND(AE283&gt;0,(TODAY()-AE283)&lt;36*365.25/12),2400/((TODAY()-AE283)/30.44/6+1),0),0)+IFERROR(IF(AND(AF283&gt;0,(TODAY()-AF283)&lt;36*365.25/12),2400/((TODAY()-AF283)/30.44/6+1),0),0)+IFERROR(IF(AND(AG283&gt;0,(TODAY()-AG283)&lt;36*365.25/12),2400/((TODAY()-AG283)/30.44/6+1),0),0),0)</f>
        <v>0</v>
      </c>
      <c r="AB283" s="4" t="n">
        <f aca="false">COUNTA(AC283:AG283)</f>
        <v>0</v>
      </c>
      <c r="AY283" s="1" t="n">
        <v>283</v>
      </c>
    </row>
    <row r="284" customFormat="false" ht="15" hidden="false" customHeight="true" outlineLevel="0" collapsed="false">
      <c r="B284" s="1" t="n">
        <v>284</v>
      </c>
      <c r="L284" s="4" t="n">
        <f aca="true">YEAR(TODAY())-H284</f>
        <v>2026</v>
      </c>
      <c r="N284" s="4" t="n">
        <f aca="true">O284+IF(AT284=1,480,0)+AA284+IF(K284="M",IF(AH284&gt;0,IF((TODAY()-AH284)/30.44&lt;6,2400,IF((TODAY()-AH284)/30.44&lt;12,1200,0)),0),0)+IF(AP284&gt;0,AP284,0)-R284-T284-S284-U284</f>
        <v>450</v>
      </c>
      <c r="O284" s="4" t="n">
        <f aca="true">IF(X284=1,1200,IF(YEAR(TODAY())-H284&lt;18,0,IF(YEAR(TODAY())-H284&lt;65,300,450)))</f>
        <v>450</v>
      </c>
      <c r="R284" s="4" t="n">
        <f aca="false">IF(MIN(AM284+IF(ISNUMBER(AN284),AN284,0),16000)&gt;=600,(MIN(AM284+IF(ISNUMBER(AN284),AN284,0),16000)-600)^0.8/10000*MIN(AM284+IF(ISNUMBER(AN284),AN284,0),16000),0)</f>
        <v>0</v>
      </c>
      <c r="S284" s="4" t="n">
        <f aca="false">IF(AB284=0,0,IF(AB284=1,30,IF(AB284=2,60,IF(AB284=3,120,IF(AB284=4,180,240)))))</f>
        <v>0</v>
      </c>
      <c r="T284" s="4" t="n">
        <f aca="false">IF(Y284&gt;0,Y284*600/MAX(1,Z284),0)</f>
        <v>0</v>
      </c>
      <c r="U284" s="4" t="n">
        <f aca="false">IF(AW284&gt;0,AW284*1000000*MAX(0,MIN(22,1+LOG10(AW284)))/100/12,0)</f>
        <v>0</v>
      </c>
      <c r="AA284" s="4" t="n">
        <f aca="true">IF(K284="W",IFERROR(IF(AND(AC284&gt;0,(TODAY()-AC284)&lt;36*365.25/12),2400/((TODAY()-AC284)/30.44/6+1),0),0)+IFERROR(IF(AND(AD284&gt;0,(TODAY()-AD284)&lt;36*365.25/12),2400/((TODAY()-AD284)/30.44/6+1),0),0)+IFERROR(IF(AND(AE284&gt;0,(TODAY()-AE284)&lt;36*365.25/12),2400/((TODAY()-AE284)/30.44/6+1),0),0)+IFERROR(IF(AND(AF284&gt;0,(TODAY()-AF284)&lt;36*365.25/12),2400/((TODAY()-AF284)/30.44/6+1),0),0)+IFERROR(IF(AND(AG284&gt;0,(TODAY()-AG284)&lt;36*365.25/12),2400/((TODAY()-AG284)/30.44/6+1),0),0),0)</f>
        <v>0</v>
      </c>
      <c r="AB284" s="4" t="n">
        <f aca="false">COUNTA(AC284:AG284)</f>
        <v>0</v>
      </c>
      <c r="AY284" s="1" t="n">
        <v>284</v>
      </c>
    </row>
    <row r="285" customFormat="false" ht="15" hidden="false" customHeight="true" outlineLevel="0" collapsed="false">
      <c r="B285" s="1" t="n">
        <v>285</v>
      </c>
      <c r="L285" s="4" t="n">
        <f aca="true">YEAR(TODAY())-H285</f>
        <v>2026</v>
      </c>
      <c r="N285" s="4" t="n">
        <f aca="true">O285+IF(AT285=1,480,0)+AA285+IF(K285="M",IF(AH285&gt;0,IF((TODAY()-AH285)/30.44&lt;6,2400,IF((TODAY()-AH285)/30.44&lt;12,1200,0)),0),0)+IF(AP285&gt;0,AP285,0)-R285-T285-S285-U285</f>
        <v>450</v>
      </c>
      <c r="O285" s="4" t="n">
        <f aca="true">IF(X285=1,1200,IF(YEAR(TODAY())-H285&lt;18,0,IF(YEAR(TODAY())-H285&lt;65,300,450)))</f>
        <v>450</v>
      </c>
      <c r="R285" s="4" t="n">
        <f aca="false">IF(MIN(AM285+IF(ISNUMBER(AN285),AN285,0),16000)&gt;=600,(MIN(AM285+IF(ISNUMBER(AN285),AN285,0),16000)-600)^0.8/10000*MIN(AM285+IF(ISNUMBER(AN285),AN285,0),16000),0)</f>
        <v>0</v>
      </c>
      <c r="S285" s="4" t="n">
        <f aca="false">IF(AB285=0,0,IF(AB285=1,30,IF(AB285=2,60,IF(AB285=3,120,IF(AB285=4,180,240)))))</f>
        <v>0</v>
      </c>
      <c r="T285" s="4" t="n">
        <f aca="false">IF(Y285&gt;0,Y285*600/MAX(1,Z285),0)</f>
        <v>0</v>
      </c>
      <c r="U285" s="4" t="n">
        <f aca="false">IF(AW285&gt;0,AW285*1000000*MAX(0,MIN(22,1+LOG10(AW285)))/100/12,0)</f>
        <v>0</v>
      </c>
      <c r="AA285" s="4" t="n">
        <f aca="true">IF(K285="W",IFERROR(IF(AND(AC285&gt;0,(TODAY()-AC285)&lt;36*365.25/12),2400/((TODAY()-AC285)/30.44/6+1),0),0)+IFERROR(IF(AND(AD285&gt;0,(TODAY()-AD285)&lt;36*365.25/12),2400/((TODAY()-AD285)/30.44/6+1),0),0)+IFERROR(IF(AND(AE285&gt;0,(TODAY()-AE285)&lt;36*365.25/12),2400/((TODAY()-AE285)/30.44/6+1),0),0)+IFERROR(IF(AND(AF285&gt;0,(TODAY()-AF285)&lt;36*365.25/12),2400/((TODAY()-AF285)/30.44/6+1),0),0)+IFERROR(IF(AND(AG285&gt;0,(TODAY()-AG285)&lt;36*365.25/12),2400/((TODAY()-AG285)/30.44/6+1),0),0),0)</f>
        <v>0</v>
      </c>
      <c r="AB285" s="4" t="n">
        <f aca="false">COUNTA(AC285:AG285)</f>
        <v>0</v>
      </c>
      <c r="AY285" s="1" t="n">
        <v>285</v>
      </c>
    </row>
    <row r="286" customFormat="false" ht="15" hidden="false" customHeight="true" outlineLevel="0" collapsed="false">
      <c r="B286" s="1" t="n">
        <v>286</v>
      </c>
      <c r="L286" s="4" t="n">
        <f aca="true">YEAR(TODAY())-H286</f>
        <v>2026</v>
      </c>
      <c r="N286" s="4" t="n">
        <f aca="true">O286+IF(AT286=1,480,0)+AA286+IF(K286="M",IF(AH286&gt;0,IF((TODAY()-AH286)/30.44&lt;6,2400,IF((TODAY()-AH286)/30.44&lt;12,1200,0)),0),0)+IF(AP286&gt;0,AP286,0)-R286-T286-S286-U286</f>
        <v>450</v>
      </c>
      <c r="O286" s="4" t="n">
        <f aca="true">IF(X286=1,1200,IF(YEAR(TODAY())-H286&lt;18,0,IF(YEAR(TODAY())-H286&lt;65,300,450)))</f>
        <v>450</v>
      </c>
      <c r="R286" s="4" t="n">
        <f aca="false">IF(MIN(AM286+IF(ISNUMBER(AN286),AN286,0),16000)&gt;=600,(MIN(AM286+IF(ISNUMBER(AN286),AN286,0),16000)-600)^0.8/10000*MIN(AM286+IF(ISNUMBER(AN286),AN286,0),16000),0)</f>
        <v>0</v>
      </c>
      <c r="S286" s="4" t="n">
        <f aca="false">IF(AB286=0,0,IF(AB286=1,30,IF(AB286=2,60,IF(AB286=3,120,IF(AB286=4,180,240)))))</f>
        <v>0</v>
      </c>
      <c r="T286" s="4" t="n">
        <f aca="false">IF(Y286&gt;0,Y286*600/MAX(1,Z286),0)</f>
        <v>0</v>
      </c>
      <c r="U286" s="4" t="n">
        <f aca="false">IF(AW286&gt;0,AW286*1000000*MAX(0,MIN(22,1+LOG10(AW286)))/100/12,0)</f>
        <v>0</v>
      </c>
      <c r="AA286" s="4" t="n">
        <f aca="true">IF(K286="W",IFERROR(IF(AND(AC286&gt;0,(TODAY()-AC286)&lt;36*365.25/12),2400/((TODAY()-AC286)/30.44/6+1),0),0)+IFERROR(IF(AND(AD286&gt;0,(TODAY()-AD286)&lt;36*365.25/12),2400/((TODAY()-AD286)/30.44/6+1),0),0)+IFERROR(IF(AND(AE286&gt;0,(TODAY()-AE286)&lt;36*365.25/12),2400/((TODAY()-AE286)/30.44/6+1),0),0)+IFERROR(IF(AND(AF286&gt;0,(TODAY()-AF286)&lt;36*365.25/12),2400/((TODAY()-AF286)/30.44/6+1),0),0)+IFERROR(IF(AND(AG286&gt;0,(TODAY()-AG286)&lt;36*365.25/12),2400/((TODAY()-AG286)/30.44/6+1),0),0),0)</f>
        <v>0</v>
      </c>
      <c r="AB286" s="4" t="n">
        <f aca="false">COUNTA(AC286:AG286)</f>
        <v>0</v>
      </c>
      <c r="AY286" s="1" t="n">
        <v>286</v>
      </c>
    </row>
    <row r="287" customFormat="false" ht="15" hidden="false" customHeight="true" outlineLevel="0" collapsed="false">
      <c r="B287" s="1" t="n">
        <v>287</v>
      </c>
      <c r="L287" s="4" t="n">
        <f aca="true">YEAR(TODAY())-H287</f>
        <v>2026</v>
      </c>
      <c r="N287" s="4" t="n">
        <f aca="true">O287+IF(AT287=1,480,0)+AA287+IF(K287="M",IF(AH287&gt;0,IF((TODAY()-AH287)/30.44&lt;6,2400,IF((TODAY()-AH287)/30.44&lt;12,1200,0)),0),0)+IF(AP287&gt;0,AP287,0)-R287-T287-S287-U287</f>
        <v>450</v>
      </c>
      <c r="O287" s="4" t="n">
        <f aca="true">IF(X287=1,1200,IF(YEAR(TODAY())-H287&lt;18,0,IF(YEAR(TODAY())-H287&lt;65,300,450)))</f>
        <v>450</v>
      </c>
      <c r="R287" s="4" t="n">
        <f aca="false">IF(MIN(AM287+IF(ISNUMBER(AN287),AN287,0),16000)&gt;=600,(MIN(AM287+IF(ISNUMBER(AN287),AN287,0),16000)-600)^0.8/10000*MIN(AM287+IF(ISNUMBER(AN287),AN287,0),16000),0)</f>
        <v>0</v>
      </c>
      <c r="S287" s="4" t="n">
        <f aca="false">IF(AB287=0,0,IF(AB287=1,30,IF(AB287=2,60,IF(AB287=3,120,IF(AB287=4,180,240)))))</f>
        <v>0</v>
      </c>
      <c r="T287" s="4" t="n">
        <f aca="false">IF(Y287&gt;0,Y287*600/MAX(1,Z287),0)</f>
        <v>0</v>
      </c>
      <c r="U287" s="4" t="n">
        <f aca="false">IF(AW287&gt;0,AW287*1000000*MAX(0,MIN(22,1+LOG10(AW287)))/100/12,0)</f>
        <v>0</v>
      </c>
      <c r="AA287" s="4" t="n">
        <f aca="true">IF(K287="W",IFERROR(IF(AND(AC287&gt;0,(TODAY()-AC287)&lt;36*365.25/12),2400/((TODAY()-AC287)/30.44/6+1),0),0)+IFERROR(IF(AND(AD287&gt;0,(TODAY()-AD287)&lt;36*365.25/12),2400/((TODAY()-AD287)/30.44/6+1),0),0)+IFERROR(IF(AND(AE287&gt;0,(TODAY()-AE287)&lt;36*365.25/12),2400/((TODAY()-AE287)/30.44/6+1),0),0)+IFERROR(IF(AND(AF287&gt;0,(TODAY()-AF287)&lt;36*365.25/12),2400/((TODAY()-AF287)/30.44/6+1),0),0)+IFERROR(IF(AND(AG287&gt;0,(TODAY()-AG287)&lt;36*365.25/12),2400/((TODAY()-AG287)/30.44/6+1),0),0),0)</f>
        <v>0</v>
      </c>
      <c r="AB287" s="4" t="n">
        <f aca="false">COUNTA(AC287:AG287)</f>
        <v>0</v>
      </c>
      <c r="AY287" s="1" t="n">
        <v>287</v>
      </c>
    </row>
    <row r="288" customFormat="false" ht="15" hidden="false" customHeight="true" outlineLevel="0" collapsed="false">
      <c r="B288" s="1" t="n">
        <v>288</v>
      </c>
      <c r="L288" s="4" t="n">
        <f aca="true">YEAR(TODAY())-H288</f>
        <v>2026</v>
      </c>
      <c r="N288" s="4" t="n">
        <f aca="true">O288+IF(AT288=1,480,0)+AA288+IF(K288="M",IF(AH288&gt;0,IF((TODAY()-AH288)/30.44&lt;6,2400,IF((TODAY()-AH288)/30.44&lt;12,1200,0)),0),0)+IF(AP288&gt;0,AP288,0)-R288-T288-S288-U288</f>
        <v>450</v>
      </c>
      <c r="O288" s="4" t="n">
        <f aca="true">IF(X288=1,1200,IF(YEAR(TODAY())-H288&lt;18,0,IF(YEAR(TODAY())-H288&lt;65,300,450)))</f>
        <v>450</v>
      </c>
      <c r="R288" s="4" t="n">
        <f aca="false">IF(MIN(AM288+IF(ISNUMBER(AN288),AN288,0),16000)&gt;=600,(MIN(AM288+IF(ISNUMBER(AN288),AN288,0),16000)-600)^0.8/10000*MIN(AM288+IF(ISNUMBER(AN288),AN288,0),16000),0)</f>
        <v>0</v>
      </c>
      <c r="S288" s="4" t="n">
        <f aca="false">IF(AB288=0,0,IF(AB288=1,30,IF(AB288=2,60,IF(AB288=3,120,IF(AB288=4,180,240)))))</f>
        <v>0</v>
      </c>
      <c r="T288" s="4" t="n">
        <f aca="false">IF(Y288&gt;0,Y288*600/MAX(1,Z288),0)</f>
        <v>0</v>
      </c>
      <c r="U288" s="4" t="n">
        <f aca="false">IF(AW288&gt;0,AW288*1000000*MAX(0,MIN(22,1+LOG10(AW288)))/100/12,0)</f>
        <v>0</v>
      </c>
      <c r="AA288" s="4" t="n">
        <f aca="true">IF(K288="W",IFERROR(IF(AND(AC288&gt;0,(TODAY()-AC288)&lt;36*365.25/12),2400/((TODAY()-AC288)/30.44/6+1),0),0)+IFERROR(IF(AND(AD288&gt;0,(TODAY()-AD288)&lt;36*365.25/12),2400/((TODAY()-AD288)/30.44/6+1),0),0)+IFERROR(IF(AND(AE288&gt;0,(TODAY()-AE288)&lt;36*365.25/12),2400/((TODAY()-AE288)/30.44/6+1),0),0)+IFERROR(IF(AND(AF288&gt;0,(TODAY()-AF288)&lt;36*365.25/12),2400/((TODAY()-AF288)/30.44/6+1),0),0)+IFERROR(IF(AND(AG288&gt;0,(TODAY()-AG288)&lt;36*365.25/12),2400/((TODAY()-AG288)/30.44/6+1),0),0),0)</f>
        <v>0</v>
      </c>
      <c r="AB288" s="4" t="n">
        <f aca="false">COUNTA(AC288:AG288)</f>
        <v>0</v>
      </c>
      <c r="AY288" s="1" t="n">
        <v>288</v>
      </c>
    </row>
    <row r="289" customFormat="false" ht="15" hidden="false" customHeight="true" outlineLevel="0" collapsed="false">
      <c r="B289" s="1" t="n">
        <v>289</v>
      </c>
      <c r="L289" s="4" t="n">
        <f aca="true">YEAR(TODAY())-H289</f>
        <v>2026</v>
      </c>
      <c r="N289" s="4" t="n">
        <f aca="true">O289+IF(AT289=1,480,0)+AA289+IF(K289="M",IF(AH289&gt;0,IF((TODAY()-AH289)/30.44&lt;6,2400,IF((TODAY()-AH289)/30.44&lt;12,1200,0)),0),0)+IF(AP289&gt;0,AP289,0)-R289-T289-S289-U289</f>
        <v>450</v>
      </c>
      <c r="O289" s="4" t="n">
        <f aca="true">IF(X289=1,1200,IF(YEAR(TODAY())-H289&lt;18,0,IF(YEAR(TODAY())-H289&lt;65,300,450)))</f>
        <v>450</v>
      </c>
      <c r="R289" s="4" t="n">
        <f aca="false">IF(MIN(AM289+IF(ISNUMBER(AN289),AN289,0),16000)&gt;=600,(MIN(AM289+IF(ISNUMBER(AN289),AN289,0),16000)-600)^0.8/10000*MIN(AM289+IF(ISNUMBER(AN289),AN289,0),16000),0)</f>
        <v>0</v>
      </c>
      <c r="S289" s="4" t="n">
        <f aca="false">IF(AB289=0,0,IF(AB289=1,30,IF(AB289=2,60,IF(AB289=3,120,IF(AB289=4,180,240)))))</f>
        <v>0</v>
      </c>
      <c r="T289" s="4" t="n">
        <f aca="false">IF(Y289&gt;0,Y289*600/MAX(1,Z289),0)</f>
        <v>0</v>
      </c>
      <c r="U289" s="4" t="n">
        <f aca="false">IF(AW289&gt;0,AW289*1000000*MAX(0,MIN(22,1+LOG10(AW289)))/100/12,0)</f>
        <v>0</v>
      </c>
      <c r="AA289" s="4" t="n">
        <f aca="true">IF(K289="W",IFERROR(IF(AND(AC289&gt;0,(TODAY()-AC289)&lt;36*365.25/12),2400/((TODAY()-AC289)/30.44/6+1),0),0)+IFERROR(IF(AND(AD289&gt;0,(TODAY()-AD289)&lt;36*365.25/12),2400/((TODAY()-AD289)/30.44/6+1),0),0)+IFERROR(IF(AND(AE289&gt;0,(TODAY()-AE289)&lt;36*365.25/12),2400/((TODAY()-AE289)/30.44/6+1),0),0)+IFERROR(IF(AND(AF289&gt;0,(TODAY()-AF289)&lt;36*365.25/12),2400/((TODAY()-AF289)/30.44/6+1),0),0)+IFERROR(IF(AND(AG289&gt;0,(TODAY()-AG289)&lt;36*365.25/12),2400/((TODAY()-AG289)/30.44/6+1),0),0),0)</f>
        <v>0</v>
      </c>
      <c r="AB289" s="4" t="n">
        <f aca="false">COUNTA(AC289:AG289)</f>
        <v>0</v>
      </c>
      <c r="AY289" s="1" t="n">
        <v>289</v>
      </c>
    </row>
    <row r="290" customFormat="false" ht="15" hidden="false" customHeight="true" outlineLevel="0" collapsed="false">
      <c r="B290" s="1" t="n">
        <v>290</v>
      </c>
      <c r="L290" s="4" t="n">
        <f aca="true">YEAR(TODAY())-H290</f>
        <v>2026</v>
      </c>
      <c r="N290" s="4" t="n">
        <f aca="true">O290+IF(AT290=1,480,0)+AA290+IF(K290="M",IF(AH290&gt;0,IF((TODAY()-AH290)/30.44&lt;6,2400,IF((TODAY()-AH290)/30.44&lt;12,1200,0)),0),0)+IF(AP290&gt;0,AP290,0)-R290-T290-S290-U290</f>
        <v>450</v>
      </c>
      <c r="O290" s="4" t="n">
        <f aca="true">IF(X290=1,1200,IF(YEAR(TODAY())-H290&lt;18,0,IF(YEAR(TODAY())-H290&lt;65,300,450)))</f>
        <v>450</v>
      </c>
      <c r="R290" s="4" t="n">
        <f aca="false">IF(MIN(AM290+IF(ISNUMBER(AN290),AN290,0),16000)&gt;=600,(MIN(AM290+IF(ISNUMBER(AN290),AN290,0),16000)-600)^0.8/10000*MIN(AM290+IF(ISNUMBER(AN290),AN290,0),16000),0)</f>
        <v>0</v>
      </c>
      <c r="S290" s="4" t="n">
        <f aca="false">IF(AB290=0,0,IF(AB290=1,30,IF(AB290=2,60,IF(AB290=3,120,IF(AB290=4,180,240)))))</f>
        <v>0</v>
      </c>
      <c r="T290" s="4" t="n">
        <f aca="false">IF(Y290&gt;0,Y290*600/MAX(1,Z290),0)</f>
        <v>0</v>
      </c>
      <c r="U290" s="4" t="n">
        <f aca="false">IF(AW290&gt;0,AW290*1000000*MAX(0,MIN(22,1+LOG10(AW290)))/100/12,0)</f>
        <v>0</v>
      </c>
      <c r="AA290" s="4" t="n">
        <f aca="true">IF(K290="W",IFERROR(IF(AND(AC290&gt;0,(TODAY()-AC290)&lt;36*365.25/12),2400/((TODAY()-AC290)/30.44/6+1),0),0)+IFERROR(IF(AND(AD290&gt;0,(TODAY()-AD290)&lt;36*365.25/12),2400/((TODAY()-AD290)/30.44/6+1),0),0)+IFERROR(IF(AND(AE290&gt;0,(TODAY()-AE290)&lt;36*365.25/12),2400/((TODAY()-AE290)/30.44/6+1),0),0)+IFERROR(IF(AND(AF290&gt;0,(TODAY()-AF290)&lt;36*365.25/12),2400/((TODAY()-AF290)/30.44/6+1),0),0)+IFERROR(IF(AND(AG290&gt;0,(TODAY()-AG290)&lt;36*365.25/12),2400/((TODAY()-AG290)/30.44/6+1),0),0),0)</f>
        <v>0</v>
      </c>
      <c r="AB290" s="4" t="n">
        <f aca="false">COUNTA(AC290:AG290)</f>
        <v>0</v>
      </c>
      <c r="AY290" s="1" t="n">
        <v>290</v>
      </c>
    </row>
    <row r="291" customFormat="false" ht="15" hidden="false" customHeight="true" outlineLevel="0" collapsed="false">
      <c r="B291" s="1" t="n">
        <v>291</v>
      </c>
      <c r="L291" s="4" t="n">
        <f aca="true">YEAR(TODAY())-H291</f>
        <v>2026</v>
      </c>
      <c r="N291" s="4" t="n">
        <f aca="true">O291+IF(AT291=1,480,0)+AA291+IF(K291="M",IF(AH291&gt;0,IF((TODAY()-AH291)/30.44&lt;6,2400,IF((TODAY()-AH291)/30.44&lt;12,1200,0)),0),0)+IF(AP291&gt;0,AP291,0)-R291-T291-S291-U291</f>
        <v>450</v>
      </c>
      <c r="O291" s="4" t="n">
        <f aca="true">IF(X291=1,1200,IF(YEAR(TODAY())-H291&lt;18,0,IF(YEAR(TODAY())-H291&lt;65,300,450)))</f>
        <v>450</v>
      </c>
      <c r="R291" s="4" t="n">
        <f aca="false">IF(MIN(AM291+IF(ISNUMBER(AN291),AN291,0),16000)&gt;=600,(MIN(AM291+IF(ISNUMBER(AN291),AN291,0),16000)-600)^0.8/10000*MIN(AM291+IF(ISNUMBER(AN291),AN291,0),16000),0)</f>
        <v>0</v>
      </c>
      <c r="S291" s="4" t="n">
        <f aca="false">IF(AB291=0,0,IF(AB291=1,30,IF(AB291=2,60,IF(AB291=3,120,IF(AB291=4,180,240)))))</f>
        <v>0</v>
      </c>
      <c r="T291" s="4" t="n">
        <f aca="false">IF(Y291&gt;0,Y291*600/MAX(1,Z291),0)</f>
        <v>0</v>
      </c>
      <c r="U291" s="4" t="n">
        <f aca="false">IF(AW291&gt;0,AW291*1000000*MAX(0,MIN(22,1+LOG10(AW291)))/100/12,0)</f>
        <v>0</v>
      </c>
      <c r="AA291" s="4" t="n">
        <f aca="true">IF(K291="W",IFERROR(IF(AND(AC291&gt;0,(TODAY()-AC291)&lt;36*365.25/12),2400/((TODAY()-AC291)/30.44/6+1),0),0)+IFERROR(IF(AND(AD291&gt;0,(TODAY()-AD291)&lt;36*365.25/12),2400/((TODAY()-AD291)/30.44/6+1),0),0)+IFERROR(IF(AND(AE291&gt;0,(TODAY()-AE291)&lt;36*365.25/12),2400/((TODAY()-AE291)/30.44/6+1),0),0)+IFERROR(IF(AND(AF291&gt;0,(TODAY()-AF291)&lt;36*365.25/12),2400/((TODAY()-AF291)/30.44/6+1),0),0)+IFERROR(IF(AND(AG291&gt;0,(TODAY()-AG291)&lt;36*365.25/12),2400/((TODAY()-AG291)/30.44/6+1),0),0),0)</f>
        <v>0</v>
      </c>
      <c r="AB291" s="4" t="n">
        <f aca="false">COUNTA(AC291:AG291)</f>
        <v>0</v>
      </c>
      <c r="AY291" s="1" t="n">
        <v>291</v>
      </c>
    </row>
    <row r="292" customFormat="false" ht="15" hidden="false" customHeight="true" outlineLevel="0" collapsed="false">
      <c r="B292" s="1" t="n">
        <v>292</v>
      </c>
      <c r="L292" s="4" t="n">
        <f aca="true">YEAR(TODAY())-H292</f>
        <v>2026</v>
      </c>
      <c r="N292" s="4" t="n">
        <f aca="true">O292+IF(AT292=1,480,0)+AA292+IF(K292="M",IF(AH292&gt;0,IF((TODAY()-AH292)/30.44&lt;6,2400,IF((TODAY()-AH292)/30.44&lt;12,1200,0)),0),0)+IF(AP292&gt;0,AP292,0)-R292-T292-S292-U292</f>
        <v>450</v>
      </c>
      <c r="O292" s="4" t="n">
        <f aca="true">IF(X292=1,1200,IF(YEAR(TODAY())-H292&lt;18,0,IF(YEAR(TODAY())-H292&lt;65,300,450)))</f>
        <v>450</v>
      </c>
      <c r="R292" s="4" t="n">
        <f aca="false">IF(MIN(AM292+IF(ISNUMBER(AN292),AN292,0),16000)&gt;=600,(MIN(AM292+IF(ISNUMBER(AN292),AN292,0),16000)-600)^0.8/10000*MIN(AM292+IF(ISNUMBER(AN292),AN292,0),16000),0)</f>
        <v>0</v>
      </c>
      <c r="S292" s="4" t="n">
        <f aca="false">IF(AB292=0,0,IF(AB292=1,30,IF(AB292=2,60,IF(AB292=3,120,IF(AB292=4,180,240)))))</f>
        <v>0</v>
      </c>
      <c r="T292" s="4" t="n">
        <f aca="false">IF(Y292&gt;0,Y292*600/MAX(1,Z292),0)</f>
        <v>0</v>
      </c>
      <c r="U292" s="4" t="n">
        <f aca="false">IF(AW292&gt;0,AW292*1000000*MAX(0,MIN(22,1+LOG10(AW292)))/100/12,0)</f>
        <v>0</v>
      </c>
      <c r="AA292" s="4" t="n">
        <f aca="true">IF(K292="W",IFERROR(IF(AND(AC292&gt;0,(TODAY()-AC292)&lt;36*365.25/12),2400/((TODAY()-AC292)/30.44/6+1),0),0)+IFERROR(IF(AND(AD292&gt;0,(TODAY()-AD292)&lt;36*365.25/12),2400/((TODAY()-AD292)/30.44/6+1),0),0)+IFERROR(IF(AND(AE292&gt;0,(TODAY()-AE292)&lt;36*365.25/12),2400/((TODAY()-AE292)/30.44/6+1),0),0)+IFERROR(IF(AND(AF292&gt;0,(TODAY()-AF292)&lt;36*365.25/12),2400/((TODAY()-AF292)/30.44/6+1),0),0)+IFERROR(IF(AND(AG292&gt;0,(TODAY()-AG292)&lt;36*365.25/12),2400/((TODAY()-AG292)/30.44/6+1),0),0),0)</f>
        <v>0</v>
      </c>
      <c r="AB292" s="4" t="n">
        <f aca="false">COUNTA(AC292:AG292)</f>
        <v>0</v>
      </c>
      <c r="AY292" s="1" t="n">
        <v>292</v>
      </c>
    </row>
    <row r="293" customFormat="false" ht="15" hidden="false" customHeight="true" outlineLevel="0" collapsed="false">
      <c r="B293" s="1" t="n">
        <v>293</v>
      </c>
      <c r="L293" s="4" t="n">
        <f aca="true">YEAR(TODAY())-H293</f>
        <v>2026</v>
      </c>
      <c r="N293" s="4" t="n">
        <f aca="true">O293+IF(AT293=1,480,0)+AA293+IF(K293="M",IF(AH293&gt;0,IF((TODAY()-AH293)/30.44&lt;6,2400,IF((TODAY()-AH293)/30.44&lt;12,1200,0)),0),0)+IF(AP293&gt;0,AP293,0)-R293-T293-S293-U293</f>
        <v>450</v>
      </c>
      <c r="O293" s="4" t="n">
        <f aca="true">IF(X293=1,1200,IF(YEAR(TODAY())-H293&lt;18,0,IF(YEAR(TODAY())-H293&lt;65,300,450)))</f>
        <v>450</v>
      </c>
      <c r="R293" s="4" t="n">
        <f aca="false">IF(MIN(AM293+IF(ISNUMBER(AN293),AN293,0),16000)&gt;=600,(MIN(AM293+IF(ISNUMBER(AN293),AN293,0),16000)-600)^0.8/10000*MIN(AM293+IF(ISNUMBER(AN293),AN293,0),16000),0)</f>
        <v>0</v>
      </c>
      <c r="S293" s="4" t="n">
        <f aca="false">IF(AB293=0,0,IF(AB293=1,30,IF(AB293=2,60,IF(AB293=3,120,IF(AB293=4,180,240)))))</f>
        <v>0</v>
      </c>
      <c r="T293" s="4" t="n">
        <f aca="false">IF(Y293&gt;0,Y293*600/MAX(1,Z293),0)</f>
        <v>0</v>
      </c>
      <c r="U293" s="4" t="n">
        <f aca="false">IF(AW293&gt;0,AW293*1000000*MAX(0,MIN(22,1+LOG10(AW293)))/100/12,0)</f>
        <v>0</v>
      </c>
      <c r="AA293" s="4" t="n">
        <f aca="true">IF(K293="W",IFERROR(IF(AND(AC293&gt;0,(TODAY()-AC293)&lt;36*365.25/12),2400/((TODAY()-AC293)/30.44/6+1),0),0)+IFERROR(IF(AND(AD293&gt;0,(TODAY()-AD293)&lt;36*365.25/12),2400/((TODAY()-AD293)/30.44/6+1),0),0)+IFERROR(IF(AND(AE293&gt;0,(TODAY()-AE293)&lt;36*365.25/12),2400/((TODAY()-AE293)/30.44/6+1),0),0)+IFERROR(IF(AND(AF293&gt;0,(TODAY()-AF293)&lt;36*365.25/12),2400/((TODAY()-AF293)/30.44/6+1),0),0)+IFERROR(IF(AND(AG293&gt;0,(TODAY()-AG293)&lt;36*365.25/12),2400/((TODAY()-AG293)/30.44/6+1),0),0),0)</f>
        <v>0</v>
      </c>
      <c r="AB293" s="4" t="n">
        <f aca="false">COUNTA(AC293:AG293)</f>
        <v>0</v>
      </c>
      <c r="AY293" s="1" t="n">
        <v>293</v>
      </c>
    </row>
    <row r="294" customFormat="false" ht="15" hidden="false" customHeight="true" outlineLevel="0" collapsed="false">
      <c r="B294" s="1" t="n">
        <v>294</v>
      </c>
      <c r="L294" s="4" t="n">
        <f aca="true">YEAR(TODAY())-H294</f>
        <v>2026</v>
      </c>
      <c r="N294" s="4" t="n">
        <f aca="true">O294+IF(AT294=1,480,0)+AA294+IF(K294="M",IF(AH294&gt;0,IF((TODAY()-AH294)/30.44&lt;6,2400,IF((TODAY()-AH294)/30.44&lt;12,1200,0)),0),0)+IF(AP294&gt;0,AP294,0)-R294-T294-S294-U294</f>
        <v>450</v>
      </c>
      <c r="O294" s="4" t="n">
        <f aca="true">IF(X294=1,1200,IF(YEAR(TODAY())-H294&lt;18,0,IF(YEAR(TODAY())-H294&lt;65,300,450)))</f>
        <v>450</v>
      </c>
      <c r="R294" s="4" t="n">
        <f aca="false">IF(MIN(AM294+IF(ISNUMBER(AN294),AN294,0),16000)&gt;=600,(MIN(AM294+IF(ISNUMBER(AN294),AN294,0),16000)-600)^0.8/10000*MIN(AM294+IF(ISNUMBER(AN294),AN294,0),16000),0)</f>
        <v>0</v>
      </c>
      <c r="S294" s="4" t="n">
        <f aca="false">IF(AB294=0,0,IF(AB294=1,30,IF(AB294=2,60,IF(AB294=3,120,IF(AB294=4,180,240)))))</f>
        <v>0</v>
      </c>
      <c r="T294" s="4" t="n">
        <f aca="false">IF(Y294&gt;0,Y294*600/MAX(1,Z294),0)</f>
        <v>0</v>
      </c>
      <c r="U294" s="4" t="n">
        <f aca="false">IF(AW294&gt;0,AW294*1000000*MAX(0,MIN(22,1+LOG10(AW294)))/100/12,0)</f>
        <v>0</v>
      </c>
      <c r="AA294" s="4" t="n">
        <f aca="true">IF(K294="W",IFERROR(IF(AND(AC294&gt;0,(TODAY()-AC294)&lt;36*365.25/12),2400/((TODAY()-AC294)/30.44/6+1),0),0)+IFERROR(IF(AND(AD294&gt;0,(TODAY()-AD294)&lt;36*365.25/12),2400/((TODAY()-AD294)/30.44/6+1),0),0)+IFERROR(IF(AND(AE294&gt;0,(TODAY()-AE294)&lt;36*365.25/12),2400/((TODAY()-AE294)/30.44/6+1),0),0)+IFERROR(IF(AND(AF294&gt;0,(TODAY()-AF294)&lt;36*365.25/12),2400/((TODAY()-AF294)/30.44/6+1),0),0)+IFERROR(IF(AND(AG294&gt;0,(TODAY()-AG294)&lt;36*365.25/12),2400/((TODAY()-AG294)/30.44/6+1),0),0),0)</f>
        <v>0</v>
      </c>
      <c r="AB294" s="4" t="n">
        <f aca="false">COUNTA(AC294:AG294)</f>
        <v>0</v>
      </c>
      <c r="AY294" s="1" t="n">
        <v>294</v>
      </c>
    </row>
    <row r="295" customFormat="false" ht="15" hidden="false" customHeight="true" outlineLevel="0" collapsed="false">
      <c r="B295" s="1" t="n">
        <v>295</v>
      </c>
      <c r="L295" s="4" t="n">
        <f aca="true">YEAR(TODAY())-H295</f>
        <v>2026</v>
      </c>
      <c r="N295" s="4" t="n">
        <f aca="true">O295+IF(AT295=1,480,0)+AA295+IF(K295="M",IF(AH295&gt;0,IF((TODAY()-AH295)/30.44&lt;6,2400,IF((TODAY()-AH295)/30.44&lt;12,1200,0)),0),0)+IF(AP295&gt;0,AP295,0)-R295-T295-S295-U295</f>
        <v>450</v>
      </c>
      <c r="O295" s="4" t="n">
        <f aca="true">IF(X295=1,1200,IF(YEAR(TODAY())-H295&lt;18,0,IF(YEAR(TODAY())-H295&lt;65,300,450)))</f>
        <v>450</v>
      </c>
      <c r="R295" s="4" t="n">
        <f aca="false">IF(MIN(AM295+IF(ISNUMBER(AN295),AN295,0),16000)&gt;=600,(MIN(AM295+IF(ISNUMBER(AN295),AN295,0),16000)-600)^0.8/10000*MIN(AM295+IF(ISNUMBER(AN295),AN295,0),16000),0)</f>
        <v>0</v>
      </c>
      <c r="S295" s="4" t="n">
        <f aca="false">IF(AB295=0,0,IF(AB295=1,30,IF(AB295=2,60,IF(AB295=3,120,IF(AB295=4,180,240)))))</f>
        <v>0</v>
      </c>
      <c r="T295" s="4" t="n">
        <f aca="false">IF(Y295&gt;0,Y295*600/MAX(1,Z295),0)</f>
        <v>0</v>
      </c>
      <c r="U295" s="4" t="n">
        <f aca="false">IF(AW295&gt;0,AW295*1000000*MAX(0,MIN(22,1+LOG10(AW295)))/100/12,0)</f>
        <v>0</v>
      </c>
      <c r="AA295" s="4" t="n">
        <f aca="true">IF(K295="W",IFERROR(IF(AND(AC295&gt;0,(TODAY()-AC295)&lt;36*365.25/12),2400/((TODAY()-AC295)/30.44/6+1),0),0)+IFERROR(IF(AND(AD295&gt;0,(TODAY()-AD295)&lt;36*365.25/12),2400/((TODAY()-AD295)/30.44/6+1),0),0)+IFERROR(IF(AND(AE295&gt;0,(TODAY()-AE295)&lt;36*365.25/12),2400/((TODAY()-AE295)/30.44/6+1),0),0)+IFERROR(IF(AND(AF295&gt;0,(TODAY()-AF295)&lt;36*365.25/12),2400/((TODAY()-AF295)/30.44/6+1),0),0)+IFERROR(IF(AND(AG295&gt;0,(TODAY()-AG295)&lt;36*365.25/12),2400/((TODAY()-AG295)/30.44/6+1),0),0),0)</f>
        <v>0</v>
      </c>
      <c r="AB295" s="4" t="n">
        <f aca="false">COUNTA(AC295:AG295)</f>
        <v>0</v>
      </c>
      <c r="AY295" s="1" t="n">
        <v>295</v>
      </c>
    </row>
    <row r="296" customFormat="false" ht="15" hidden="false" customHeight="true" outlineLevel="0" collapsed="false">
      <c r="B296" s="1" t="n">
        <v>296</v>
      </c>
      <c r="L296" s="4" t="n">
        <f aca="true">YEAR(TODAY())-H296</f>
        <v>2026</v>
      </c>
      <c r="N296" s="4" t="n">
        <f aca="true">O296+IF(AT296=1,480,0)+AA296+IF(K296="M",IF(AH296&gt;0,IF((TODAY()-AH296)/30.44&lt;6,2400,IF((TODAY()-AH296)/30.44&lt;12,1200,0)),0),0)+IF(AP296&gt;0,AP296,0)-R296-T296-S296-U296</f>
        <v>450</v>
      </c>
      <c r="O296" s="4" t="n">
        <f aca="true">IF(X296=1,1200,IF(YEAR(TODAY())-H296&lt;18,0,IF(YEAR(TODAY())-H296&lt;65,300,450)))</f>
        <v>450</v>
      </c>
      <c r="R296" s="4" t="n">
        <f aca="false">IF(MIN(AM296+IF(ISNUMBER(AN296),AN296,0),16000)&gt;=600,(MIN(AM296+IF(ISNUMBER(AN296),AN296,0),16000)-600)^0.8/10000*MIN(AM296+IF(ISNUMBER(AN296),AN296,0),16000),0)</f>
        <v>0</v>
      </c>
      <c r="S296" s="4" t="n">
        <f aca="false">IF(AB296=0,0,IF(AB296=1,30,IF(AB296=2,60,IF(AB296=3,120,IF(AB296=4,180,240)))))</f>
        <v>0</v>
      </c>
      <c r="T296" s="4" t="n">
        <f aca="false">IF(Y296&gt;0,Y296*600/MAX(1,Z296),0)</f>
        <v>0</v>
      </c>
      <c r="U296" s="4" t="n">
        <f aca="false">IF(AW296&gt;0,AW296*1000000*MAX(0,MIN(22,1+LOG10(AW296)))/100/12,0)</f>
        <v>0</v>
      </c>
      <c r="AA296" s="4" t="n">
        <f aca="true">IF(K296="W",IFERROR(IF(AND(AC296&gt;0,(TODAY()-AC296)&lt;36*365.25/12),2400/((TODAY()-AC296)/30.44/6+1),0),0)+IFERROR(IF(AND(AD296&gt;0,(TODAY()-AD296)&lt;36*365.25/12),2400/((TODAY()-AD296)/30.44/6+1),0),0)+IFERROR(IF(AND(AE296&gt;0,(TODAY()-AE296)&lt;36*365.25/12),2400/((TODAY()-AE296)/30.44/6+1),0),0)+IFERROR(IF(AND(AF296&gt;0,(TODAY()-AF296)&lt;36*365.25/12),2400/((TODAY()-AF296)/30.44/6+1),0),0)+IFERROR(IF(AND(AG296&gt;0,(TODAY()-AG296)&lt;36*365.25/12),2400/((TODAY()-AG296)/30.44/6+1),0),0),0)</f>
        <v>0</v>
      </c>
      <c r="AB296" s="4" t="n">
        <f aca="false">COUNTA(AC296:AG296)</f>
        <v>0</v>
      </c>
      <c r="AY296" s="1" t="n">
        <v>296</v>
      </c>
    </row>
    <row r="297" customFormat="false" ht="15" hidden="false" customHeight="true" outlineLevel="0" collapsed="false">
      <c r="B297" s="1" t="n">
        <v>297</v>
      </c>
      <c r="L297" s="4" t="n">
        <f aca="true">YEAR(TODAY())-H297</f>
        <v>2026</v>
      </c>
      <c r="N297" s="4" t="n">
        <f aca="true">O297+IF(AT297=1,480,0)+AA297+IF(K297="M",IF(AH297&gt;0,IF((TODAY()-AH297)/30.44&lt;6,2400,IF((TODAY()-AH297)/30.44&lt;12,1200,0)),0),0)+IF(AP297&gt;0,AP297,0)-R297-T297-S297-U297</f>
        <v>450</v>
      </c>
      <c r="O297" s="4" t="n">
        <f aca="true">IF(X297=1,1200,IF(YEAR(TODAY())-H297&lt;18,0,IF(YEAR(TODAY())-H297&lt;65,300,450)))</f>
        <v>450</v>
      </c>
      <c r="R297" s="4" t="n">
        <f aca="false">IF(MIN(AM297+IF(ISNUMBER(AN297),AN297,0),16000)&gt;=600,(MIN(AM297+IF(ISNUMBER(AN297),AN297,0),16000)-600)^0.8/10000*MIN(AM297+IF(ISNUMBER(AN297),AN297,0),16000),0)</f>
        <v>0</v>
      </c>
      <c r="S297" s="4" t="n">
        <f aca="false">IF(AB297=0,0,IF(AB297=1,30,IF(AB297=2,60,IF(AB297=3,120,IF(AB297=4,180,240)))))</f>
        <v>0</v>
      </c>
      <c r="T297" s="4" t="n">
        <f aca="false">IF(Y297&gt;0,Y297*600/MAX(1,Z297),0)</f>
        <v>0</v>
      </c>
      <c r="U297" s="4" t="n">
        <f aca="false">IF(AW297&gt;0,AW297*1000000*MAX(0,MIN(22,1+LOG10(AW297)))/100/12,0)</f>
        <v>0</v>
      </c>
      <c r="AA297" s="4" t="n">
        <f aca="true">IF(K297="W",IFERROR(IF(AND(AC297&gt;0,(TODAY()-AC297)&lt;36*365.25/12),2400/((TODAY()-AC297)/30.44/6+1),0),0)+IFERROR(IF(AND(AD297&gt;0,(TODAY()-AD297)&lt;36*365.25/12),2400/((TODAY()-AD297)/30.44/6+1),0),0)+IFERROR(IF(AND(AE297&gt;0,(TODAY()-AE297)&lt;36*365.25/12),2400/((TODAY()-AE297)/30.44/6+1),0),0)+IFERROR(IF(AND(AF297&gt;0,(TODAY()-AF297)&lt;36*365.25/12),2400/((TODAY()-AF297)/30.44/6+1),0),0)+IFERROR(IF(AND(AG297&gt;0,(TODAY()-AG297)&lt;36*365.25/12),2400/((TODAY()-AG297)/30.44/6+1),0),0),0)</f>
        <v>0</v>
      </c>
      <c r="AB297" s="4" t="n">
        <f aca="false">COUNTA(AC297:AG297)</f>
        <v>0</v>
      </c>
      <c r="AY297" s="1" t="n">
        <v>297</v>
      </c>
    </row>
    <row r="298" customFormat="false" ht="15" hidden="false" customHeight="true" outlineLevel="0" collapsed="false">
      <c r="B298" s="1" t="n">
        <v>298</v>
      </c>
      <c r="L298" s="4" t="n">
        <f aca="true">YEAR(TODAY())-H298</f>
        <v>2026</v>
      </c>
      <c r="N298" s="4" t="n">
        <f aca="true">O298+IF(AT298=1,480,0)+AA298+IF(K298="M",IF(AH298&gt;0,IF((TODAY()-AH298)/30.44&lt;6,2400,IF((TODAY()-AH298)/30.44&lt;12,1200,0)),0),0)+IF(AP298&gt;0,AP298,0)-R298-T298-S298-U298</f>
        <v>450</v>
      </c>
      <c r="O298" s="4" t="n">
        <f aca="true">IF(X298=1,1200,IF(YEAR(TODAY())-H298&lt;18,0,IF(YEAR(TODAY())-H298&lt;65,300,450)))</f>
        <v>450</v>
      </c>
      <c r="R298" s="4" t="n">
        <f aca="false">IF(MIN(AM298+IF(ISNUMBER(AN298),AN298,0),16000)&gt;=600,(MIN(AM298+IF(ISNUMBER(AN298),AN298,0),16000)-600)^0.8/10000*MIN(AM298+IF(ISNUMBER(AN298),AN298,0),16000),0)</f>
        <v>0</v>
      </c>
      <c r="S298" s="4" t="n">
        <f aca="false">IF(AB298=0,0,IF(AB298=1,30,IF(AB298=2,60,IF(AB298=3,120,IF(AB298=4,180,240)))))</f>
        <v>0</v>
      </c>
      <c r="T298" s="4" t="n">
        <f aca="false">IF(Y298&gt;0,Y298*600/MAX(1,Z298),0)</f>
        <v>0</v>
      </c>
      <c r="U298" s="4" t="n">
        <f aca="false">IF(AW298&gt;0,AW298*1000000*MAX(0,MIN(22,1+LOG10(AW298)))/100/12,0)</f>
        <v>0</v>
      </c>
      <c r="AA298" s="4" t="n">
        <f aca="true">IF(K298="W",IFERROR(IF(AND(AC298&gt;0,(TODAY()-AC298)&lt;36*365.25/12),2400/((TODAY()-AC298)/30.44/6+1),0),0)+IFERROR(IF(AND(AD298&gt;0,(TODAY()-AD298)&lt;36*365.25/12),2400/((TODAY()-AD298)/30.44/6+1),0),0)+IFERROR(IF(AND(AE298&gt;0,(TODAY()-AE298)&lt;36*365.25/12),2400/((TODAY()-AE298)/30.44/6+1),0),0)+IFERROR(IF(AND(AF298&gt;0,(TODAY()-AF298)&lt;36*365.25/12),2400/((TODAY()-AF298)/30.44/6+1),0),0)+IFERROR(IF(AND(AG298&gt;0,(TODAY()-AG298)&lt;36*365.25/12),2400/((TODAY()-AG298)/30.44/6+1),0),0),0)</f>
        <v>0</v>
      </c>
      <c r="AB298" s="4" t="n">
        <f aca="false">COUNTA(AC298:AG298)</f>
        <v>0</v>
      </c>
      <c r="AY298" s="1" t="n">
        <v>298</v>
      </c>
    </row>
    <row r="299" customFormat="false" ht="15" hidden="false" customHeight="true" outlineLevel="0" collapsed="false">
      <c r="B299" s="1" t="n">
        <v>299</v>
      </c>
      <c r="L299" s="4" t="n">
        <f aca="true">YEAR(TODAY())-H299</f>
        <v>2026</v>
      </c>
      <c r="N299" s="4" t="n">
        <f aca="true">O299+IF(AT299=1,480,0)+AA299+IF(K299="M",IF(AH299&gt;0,IF((TODAY()-AH299)/30.44&lt;6,2400,IF((TODAY()-AH299)/30.44&lt;12,1200,0)),0),0)+IF(AP299&gt;0,AP299,0)-R299-T299-S299-U299</f>
        <v>450</v>
      </c>
      <c r="O299" s="4" t="n">
        <f aca="true">IF(X299=1,1200,IF(YEAR(TODAY())-H299&lt;18,0,IF(YEAR(TODAY())-H299&lt;65,300,450)))</f>
        <v>450</v>
      </c>
      <c r="R299" s="4" t="n">
        <f aca="false">IF(MIN(AM299+IF(ISNUMBER(AN299),AN299,0),16000)&gt;=600,(MIN(AM299+IF(ISNUMBER(AN299),AN299,0),16000)-600)^0.8/10000*MIN(AM299+IF(ISNUMBER(AN299),AN299,0),16000),0)</f>
        <v>0</v>
      </c>
      <c r="S299" s="4" t="n">
        <f aca="false">IF(AB299=0,0,IF(AB299=1,30,IF(AB299=2,60,IF(AB299=3,120,IF(AB299=4,180,240)))))</f>
        <v>0</v>
      </c>
      <c r="T299" s="4" t="n">
        <f aca="false">IF(Y299&gt;0,Y299*600/MAX(1,Z299),0)</f>
        <v>0</v>
      </c>
      <c r="U299" s="4" t="n">
        <f aca="false">IF(AW299&gt;0,AW299*1000000*MAX(0,MIN(22,1+LOG10(AW299)))/100/12,0)</f>
        <v>0</v>
      </c>
      <c r="AA299" s="4" t="n">
        <f aca="true">IF(K299="W",IFERROR(IF(AND(AC299&gt;0,(TODAY()-AC299)&lt;36*365.25/12),2400/((TODAY()-AC299)/30.44/6+1),0),0)+IFERROR(IF(AND(AD299&gt;0,(TODAY()-AD299)&lt;36*365.25/12),2400/((TODAY()-AD299)/30.44/6+1),0),0)+IFERROR(IF(AND(AE299&gt;0,(TODAY()-AE299)&lt;36*365.25/12),2400/((TODAY()-AE299)/30.44/6+1),0),0)+IFERROR(IF(AND(AF299&gt;0,(TODAY()-AF299)&lt;36*365.25/12),2400/((TODAY()-AF299)/30.44/6+1),0),0)+IFERROR(IF(AND(AG299&gt;0,(TODAY()-AG299)&lt;36*365.25/12),2400/((TODAY()-AG299)/30.44/6+1),0),0),0)</f>
        <v>0</v>
      </c>
      <c r="AB299" s="4" t="n">
        <f aca="false">COUNTA(AC299:AG299)</f>
        <v>0</v>
      </c>
      <c r="AY299" s="1" t="n">
        <v>299</v>
      </c>
    </row>
    <row r="300" customFormat="false" ht="15" hidden="false" customHeight="true" outlineLevel="0" collapsed="false">
      <c r="B300" s="1" t="s">
        <v>1</v>
      </c>
      <c r="E300" s="1" t="s">
        <v>4</v>
      </c>
      <c r="F300" s="1" t="s">
        <v>5</v>
      </c>
      <c r="G300" s="1" t="s">
        <v>6</v>
      </c>
      <c r="H300" s="1" t="s">
        <v>7</v>
      </c>
      <c r="I300" s="1" t="s">
        <v>8</v>
      </c>
      <c r="J300" s="1" t="s">
        <v>9</v>
      </c>
      <c r="K300" s="1" t="s">
        <v>10</v>
      </c>
      <c r="L300" s="1" t="s">
        <v>11</v>
      </c>
      <c r="M300" s="1" t="s">
        <v>12</v>
      </c>
      <c r="N300" s="1" t="s">
        <v>13</v>
      </c>
      <c r="O300" s="1" t="s">
        <v>14</v>
      </c>
      <c r="P300" s="1" t="s">
        <v>15</v>
      </c>
      <c r="Q300" s="1" t="s">
        <v>16</v>
      </c>
      <c r="R300" s="1" t="s">
        <v>17</v>
      </c>
      <c r="S300" s="1" t="s">
        <v>18</v>
      </c>
      <c r="T300" s="1" t="s">
        <v>19</v>
      </c>
      <c r="U300" s="1" t="s">
        <v>20</v>
      </c>
      <c r="V300" s="1" t="s">
        <v>21</v>
      </c>
      <c r="W300" s="1" t="s">
        <v>22</v>
      </c>
      <c r="X300" s="1" t="s">
        <v>23</v>
      </c>
      <c r="Y300" s="1" t="s">
        <v>19</v>
      </c>
      <c r="Z300" s="1" t="s">
        <v>24</v>
      </c>
      <c r="AA300" s="1" t="s">
        <v>25</v>
      </c>
      <c r="AB300" s="1" t="s">
        <v>26</v>
      </c>
      <c r="AC300" s="1" t="s">
        <v>27</v>
      </c>
      <c r="AD300" s="1" t="s">
        <v>28</v>
      </c>
      <c r="AE300" s="1" t="s">
        <v>29</v>
      </c>
      <c r="AF300" s="1" t="s">
        <v>30</v>
      </c>
      <c r="AG300" s="1" t="s">
        <v>31</v>
      </c>
      <c r="AH300" s="1" t="s">
        <v>32</v>
      </c>
      <c r="AI300" s="1" t="s">
        <v>33</v>
      </c>
      <c r="AJ300" s="1" t="s">
        <v>34</v>
      </c>
      <c r="AK300" s="1" t="s">
        <v>35</v>
      </c>
      <c r="AL300" s="1" t="s">
        <v>17</v>
      </c>
      <c r="AM300" s="1" t="s">
        <v>36</v>
      </c>
      <c r="AN300" s="1" t="s">
        <v>37</v>
      </c>
      <c r="AO300" s="1" t="s">
        <v>38</v>
      </c>
      <c r="AS300" s="1" t="s">
        <v>41</v>
      </c>
      <c r="AT300" s="1" t="s">
        <v>42</v>
      </c>
      <c r="AU300" s="1" t="s">
        <v>43</v>
      </c>
      <c r="AV300" s="1" t="s">
        <v>44</v>
      </c>
      <c r="AW300" s="1" t="s">
        <v>45</v>
      </c>
      <c r="AX300" s="1" t="s">
        <v>46</v>
      </c>
      <c r="AY300" s="1" t="s">
        <v>1</v>
      </c>
      <c r="AZ300" s="1" t="s">
        <v>12</v>
      </c>
    </row>
    <row r="301" customFormat="false" ht="15" hidden="false" customHeight="true" outlineLevel="0" collapsed="false">
      <c r="B301" s="1" t="n">
        <v>301</v>
      </c>
      <c r="L301" s="4" t="n">
        <f aca="true">YEAR(TODAY())-H301</f>
        <v>2026</v>
      </c>
      <c r="N301" s="4" t="n">
        <f aca="true">O301+IF(AT301=1,480,0)+AA301+IF(K301="M",IF(AH301&gt;0,IF((TODAY()-AH301)/30.44&lt;6,2400,IF((TODAY()-AH301)/30.44&lt;12,1200,0)),0),0)+IF(AP301&gt;0,AP301,0)-R301-T301-S301-U301</f>
        <v>450</v>
      </c>
      <c r="O301" s="4" t="n">
        <f aca="true">IF(X301=1,1200,IF(YEAR(TODAY())-H301&lt;18,0,IF(YEAR(TODAY())-H301&lt;65,300,450)))</f>
        <v>450</v>
      </c>
      <c r="R301" s="4" t="n">
        <f aca="false">IF(MIN(AM301+IF(ISNUMBER(AN301),AN301,0),16000)&gt;=600,(MIN(AM301+IF(ISNUMBER(AN301),AN301,0),16000)-600)^0.8/10000*MIN(AM301+IF(ISNUMBER(AN301),AN301,0),16000),0)</f>
        <v>0</v>
      </c>
      <c r="S301" s="4" t="n">
        <f aca="false">IF(AB301=0,0,IF(AB301=1,30,IF(AB301=2,60,IF(AB301=3,120,IF(AB301=4,180,240)))))</f>
        <v>0</v>
      </c>
      <c r="T301" s="4" t="n">
        <f aca="false">IF(Y301&gt;0,Y301*600/MAX(1,Z301),0)</f>
        <v>0</v>
      </c>
      <c r="U301" s="4" t="n">
        <f aca="false">IF(AW301&gt;0,AW301*1000000*MAX(0,MIN(22,1+LOG10(AW301)))/100/12,0)</f>
        <v>0</v>
      </c>
      <c r="AA301" s="4" t="n">
        <f aca="true">IF(K301="W",IFERROR(IF(AND(AC301&gt;0,(TODAY()-AC301)&lt;36*365.25/12),2400/((TODAY()-AC301)/30.44/6+1),0),0)+IFERROR(IF(AND(AD301&gt;0,(TODAY()-AD301)&lt;36*365.25/12),2400/((TODAY()-AD301)/30.44/6+1),0),0)+IFERROR(IF(AND(AE301&gt;0,(TODAY()-AE301)&lt;36*365.25/12),2400/((TODAY()-AE301)/30.44/6+1),0),0)+IFERROR(IF(AND(AF301&gt;0,(TODAY()-AF301)&lt;36*365.25/12),2400/((TODAY()-AF301)/30.44/6+1),0),0)+IFERROR(IF(AND(AG301&gt;0,(TODAY()-AG301)&lt;36*365.25/12),2400/((TODAY()-AG301)/30.44/6+1),0),0),0)</f>
        <v>0</v>
      </c>
      <c r="AB301" s="4" t="n">
        <f aca="false">COUNTA(AC301:AG301)</f>
        <v>0</v>
      </c>
      <c r="AY301" s="1" t="n">
        <v>301</v>
      </c>
    </row>
    <row r="302" customFormat="false" ht="15" hidden="false" customHeight="true" outlineLevel="0" collapsed="false">
      <c r="B302" s="1" t="n">
        <v>302</v>
      </c>
      <c r="L302" s="4" t="n">
        <f aca="true">YEAR(TODAY())-H302</f>
        <v>2026</v>
      </c>
      <c r="N302" s="4" t="n">
        <f aca="true">O302+IF(AT302=1,480,0)+AA302+IF(K302="M",IF(AH302&gt;0,IF((TODAY()-AH302)/30.44&lt;6,2400,IF((TODAY()-AH302)/30.44&lt;12,1200,0)),0),0)+IF(AP302&gt;0,AP302,0)-R302-T302-S302-U302</f>
        <v>450</v>
      </c>
      <c r="O302" s="4" t="n">
        <f aca="true">IF(X302=1,1200,IF(YEAR(TODAY())-H302&lt;18,0,IF(YEAR(TODAY())-H302&lt;65,300,450)))</f>
        <v>450</v>
      </c>
      <c r="R302" s="4" t="n">
        <f aca="false">IF(MIN(AM302+IF(ISNUMBER(AN302),AN302,0),16000)&gt;=600,(MIN(AM302+IF(ISNUMBER(AN302),AN302,0),16000)-600)^0.8/10000*MIN(AM302+IF(ISNUMBER(AN302),AN302,0),16000),0)</f>
        <v>0</v>
      </c>
      <c r="S302" s="4" t="n">
        <f aca="false">IF(AB302=0,0,IF(AB302=1,30,IF(AB302=2,60,IF(AB302=3,120,IF(AB302=4,180,240)))))</f>
        <v>0</v>
      </c>
      <c r="T302" s="4" t="n">
        <f aca="false">IF(Y302&gt;0,Y302*600/MAX(1,Z302),0)</f>
        <v>0</v>
      </c>
      <c r="U302" s="4" t="n">
        <f aca="false">IF(AW302&gt;0,AW302*1000000*MAX(0,MIN(22,1+LOG10(AW302)))/100/12,0)</f>
        <v>0</v>
      </c>
      <c r="AA302" s="4" t="n">
        <f aca="true">IF(K302="W",IFERROR(IF(AND(AC302&gt;0,(TODAY()-AC302)&lt;36*365.25/12),2400/((TODAY()-AC302)/30.44/6+1),0),0)+IFERROR(IF(AND(AD302&gt;0,(TODAY()-AD302)&lt;36*365.25/12),2400/((TODAY()-AD302)/30.44/6+1),0),0)+IFERROR(IF(AND(AE302&gt;0,(TODAY()-AE302)&lt;36*365.25/12),2400/((TODAY()-AE302)/30.44/6+1),0),0)+IFERROR(IF(AND(AF302&gt;0,(TODAY()-AF302)&lt;36*365.25/12),2400/((TODAY()-AF302)/30.44/6+1),0),0)+IFERROR(IF(AND(AG302&gt;0,(TODAY()-AG302)&lt;36*365.25/12),2400/((TODAY()-AG302)/30.44/6+1),0),0),0)</f>
        <v>0</v>
      </c>
      <c r="AB302" s="4" t="n">
        <f aca="false">COUNTA(AC302:AG302)</f>
        <v>0</v>
      </c>
      <c r="AY302" s="1" t="n">
        <v>302</v>
      </c>
    </row>
    <row r="303" customFormat="false" ht="15" hidden="false" customHeight="true" outlineLevel="0" collapsed="false">
      <c r="B303" s="1" t="n">
        <v>303</v>
      </c>
      <c r="L303" s="4" t="n">
        <f aca="true">YEAR(TODAY())-H303</f>
        <v>2026</v>
      </c>
      <c r="N303" s="4" t="n">
        <f aca="true">O303+IF(AT303=1,480,0)+AA303+IF(K303="M",IF(AH303&gt;0,IF((TODAY()-AH303)/30.44&lt;6,2400,IF((TODAY()-AH303)/30.44&lt;12,1200,0)),0),0)+IF(AP303&gt;0,AP303,0)-R303-T303-S303-U303</f>
        <v>450</v>
      </c>
      <c r="O303" s="4" t="n">
        <f aca="true">IF(X303=1,1200,IF(YEAR(TODAY())-H303&lt;18,0,IF(YEAR(TODAY())-H303&lt;65,300,450)))</f>
        <v>450</v>
      </c>
      <c r="R303" s="4" t="n">
        <f aca="false">IF(MIN(AM303+IF(ISNUMBER(AN303),AN303,0),16000)&gt;=600,(MIN(AM303+IF(ISNUMBER(AN303),AN303,0),16000)-600)^0.8/10000*MIN(AM303+IF(ISNUMBER(AN303),AN303,0),16000),0)</f>
        <v>0</v>
      </c>
      <c r="S303" s="4" t="n">
        <f aca="false">IF(AB303=0,0,IF(AB303=1,30,IF(AB303=2,60,IF(AB303=3,120,IF(AB303=4,180,240)))))</f>
        <v>0</v>
      </c>
      <c r="T303" s="4" t="n">
        <f aca="false">IF(Y303&gt;0,Y303*600/MAX(1,Z303),0)</f>
        <v>0</v>
      </c>
      <c r="U303" s="4" t="n">
        <f aca="false">IF(AW303&gt;0,AW303*1000000*MAX(0,MIN(22,1+LOG10(AW303)))/100/12,0)</f>
        <v>0</v>
      </c>
      <c r="AA303" s="4" t="n">
        <f aca="true">IF(K303="W",IFERROR(IF(AND(AC303&gt;0,(TODAY()-AC303)&lt;36*365.25/12),2400/((TODAY()-AC303)/30.44/6+1),0),0)+IFERROR(IF(AND(AD303&gt;0,(TODAY()-AD303)&lt;36*365.25/12),2400/((TODAY()-AD303)/30.44/6+1),0),0)+IFERROR(IF(AND(AE303&gt;0,(TODAY()-AE303)&lt;36*365.25/12),2400/((TODAY()-AE303)/30.44/6+1),0),0)+IFERROR(IF(AND(AF303&gt;0,(TODAY()-AF303)&lt;36*365.25/12),2400/((TODAY()-AF303)/30.44/6+1),0),0)+IFERROR(IF(AND(AG303&gt;0,(TODAY()-AG303)&lt;36*365.25/12),2400/((TODAY()-AG303)/30.44/6+1),0),0),0)</f>
        <v>0</v>
      </c>
      <c r="AB303" s="4" t="n">
        <f aca="false">COUNTA(AC303:AG303)</f>
        <v>0</v>
      </c>
      <c r="AY303" s="1" t="n">
        <v>303</v>
      </c>
    </row>
    <row r="304" customFormat="false" ht="15" hidden="false" customHeight="true" outlineLevel="0" collapsed="false">
      <c r="B304" s="1" t="n">
        <v>304</v>
      </c>
      <c r="L304" s="4" t="n">
        <f aca="true">YEAR(TODAY())-H304</f>
        <v>2026</v>
      </c>
      <c r="N304" s="4" t="n">
        <f aca="true">O304+IF(AT304=1,480,0)+AA304+IF(K304="M",IF(AH304&gt;0,IF((TODAY()-AH304)/30.44&lt;6,2400,IF((TODAY()-AH304)/30.44&lt;12,1200,0)),0),0)+IF(AP304&gt;0,AP304,0)-R304-T304-S304-U304</f>
        <v>450</v>
      </c>
      <c r="O304" s="4" t="n">
        <f aca="true">IF(X304=1,1200,IF(YEAR(TODAY())-H304&lt;18,0,IF(YEAR(TODAY())-H304&lt;65,300,450)))</f>
        <v>450</v>
      </c>
      <c r="R304" s="4" t="n">
        <f aca="false">IF(MIN(AM304+IF(ISNUMBER(AN304),AN304,0),16000)&gt;=600,(MIN(AM304+IF(ISNUMBER(AN304),AN304,0),16000)-600)^0.8/10000*MIN(AM304+IF(ISNUMBER(AN304),AN304,0),16000),0)</f>
        <v>0</v>
      </c>
      <c r="S304" s="4" t="n">
        <f aca="false">IF(AB304=0,0,IF(AB304=1,30,IF(AB304=2,60,IF(AB304=3,120,IF(AB304=4,180,240)))))</f>
        <v>0</v>
      </c>
      <c r="T304" s="4" t="n">
        <f aca="false">IF(Y304&gt;0,Y304*600/MAX(1,Z304),0)</f>
        <v>0</v>
      </c>
      <c r="U304" s="4" t="n">
        <f aca="false">IF(AW304&gt;0,AW304*1000000*MAX(0,MIN(22,1+LOG10(AW304)))/100/12,0)</f>
        <v>0</v>
      </c>
      <c r="AA304" s="4" t="n">
        <f aca="true">IF(K304="W",IFERROR(IF(AND(AC304&gt;0,(TODAY()-AC304)&lt;36*365.25/12),2400/((TODAY()-AC304)/30.44/6+1),0),0)+IFERROR(IF(AND(AD304&gt;0,(TODAY()-AD304)&lt;36*365.25/12),2400/((TODAY()-AD304)/30.44/6+1),0),0)+IFERROR(IF(AND(AE304&gt;0,(TODAY()-AE304)&lt;36*365.25/12),2400/((TODAY()-AE304)/30.44/6+1),0),0)+IFERROR(IF(AND(AF304&gt;0,(TODAY()-AF304)&lt;36*365.25/12),2400/((TODAY()-AF304)/30.44/6+1),0),0)+IFERROR(IF(AND(AG304&gt;0,(TODAY()-AG304)&lt;36*365.25/12),2400/((TODAY()-AG304)/30.44/6+1),0),0),0)</f>
        <v>0</v>
      </c>
      <c r="AB304" s="4" t="n">
        <f aca="false">COUNTA(AC304:AG304)</f>
        <v>0</v>
      </c>
      <c r="AY304" s="1" t="n">
        <v>304</v>
      </c>
    </row>
    <row r="305" customFormat="false" ht="15" hidden="false" customHeight="true" outlineLevel="0" collapsed="false">
      <c r="B305" s="1" t="n">
        <v>305</v>
      </c>
      <c r="L305" s="4" t="n">
        <f aca="true">YEAR(TODAY())-H305</f>
        <v>2026</v>
      </c>
      <c r="N305" s="4" t="n">
        <f aca="true">O305+IF(AT305=1,480,0)+AA305+IF(K305="M",IF(AH305&gt;0,IF((TODAY()-AH305)/30.44&lt;6,2400,IF((TODAY()-AH305)/30.44&lt;12,1200,0)),0),0)+IF(AP305&gt;0,AP305,0)-R305-T305-S305-U305</f>
        <v>450</v>
      </c>
      <c r="O305" s="4" t="n">
        <f aca="true">IF(X305=1,1200,IF(YEAR(TODAY())-H305&lt;18,0,IF(YEAR(TODAY())-H305&lt;65,300,450)))</f>
        <v>450</v>
      </c>
      <c r="R305" s="4" t="n">
        <f aca="false">IF(MIN(AM305+IF(ISNUMBER(AN305),AN305,0),16000)&gt;=600,(MIN(AM305+IF(ISNUMBER(AN305),AN305,0),16000)-600)^0.8/10000*MIN(AM305+IF(ISNUMBER(AN305),AN305,0),16000),0)</f>
        <v>0</v>
      </c>
      <c r="S305" s="4" t="n">
        <f aca="false">IF(AB305=0,0,IF(AB305=1,30,IF(AB305=2,60,IF(AB305=3,120,IF(AB305=4,180,240)))))</f>
        <v>0</v>
      </c>
      <c r="T305" s="4" t="n">
        <f aca="false">IF(Y305&gt;0,Y305*600/MAX(1,Z305),0)</f>
        <v>0</v>
      </c>
      <c r="U305" s="4" t="n">
        <f aca="false">IF(AW305&gt;0,AW305*1000000*MAX(0,MIN(22,1+LOG10(AW305)))/100/12,0)</f>
        <v>0</v>
      </c>
      <c r="AA305" s="4" t="n">
        <f aca="true">IF(K305="W",IFERROR(IF(AND(AC305&gt;0,(TODAY()-AC305)&lt;36*365.25/12),2400/((TODAY()-AC305)/30.44/6+1),0),0)+IFERROR(IF(AND(AD305&gt;0,(TODAY()-AD305)&lt;36*365.25/12),2400/((TODAY()-AD305)/30.44/6+1),0),0)+IFERROR(IF(AND(AE305&gt;0,(TODAY()-AE305)&lt;36*365.25/12),2400/((TODAY()-AE305)/30.44/6+1),0),0)+IFERROR(IF(AND(AF305&gt;0,(TODAY()-AF305)&lt;36*365.25/12),2400/((TODAY()-AF305)/30.44/6+1),0),0)+IFERROR(IF(AND(AG305&gt;0,(TODAY()-AG305)&lt;36*365.25/12),2400/((TODAY()-AG305)/30.44/6+1),0),0),0)</f>
        <v>0</v>
      </c>
      <c r="AB305" s="4" t="n">
        <f aca="false">COUNTA(AC305:AG305)</f>
        <v>0</v>
      </c>
      <c r="AY305" s="1" t="n">
        <v>305</v>
      </c>
    </row>
    <row r="306" customFormat="false" ht="15" hidden="false" customHeight="true" outlineLevel="0" collapsed="false">
      <c r="B306" s="1" t="n">
        <v>306</v>
      </c>
      <c r="L306" s="4" t="n">
        <f aca="true">YEAR(TODAY())-H306</f>
        <v>2026</v>
      </c>
      <c r="N306" s="4" t="n">
        <f aca="true">O306+IF(AT306=1,480,0)+AA306+IF(K306="M",IF(AH306&gt;0,IF((TODAY()-AH306)/30.44&lt;6,2400,IF((TODAY()-AH306)/30.44&lt;12,1200,0)),0),0)+IF(AP306&gt;0,AP306,0)-R306-T306-S306-U306</f>
        <v>450</v>
      </c>
      <c r="O306" s="4" t="n">
        <f aca="true">IF(X306=1,1200,IF(YEAR(TODAY())-H306&lt;18,0,IF(YEAR(TODAY())-H306&lt;65,300,450)))</f>
        <v>450</v>
      </c>
      <c r="R306" s="4" t="n">
        <f aca="false">IF(MIN(AM306+IF(ISNUMBER(AN306),AN306,0),16000)&gt;=600,(MIN(AM306+IF(ISNUMBER(AN306),AN306,0),16000)-600)^0.8/10000*MIN(AM306+IF(ISNUMBER(AN306),AN306,0),16000),0)</f>
        <v>0</v>
      </c>
      <c r="S306" s="4" t="n">
        <f aca="false">IF(AB306=0,0,IF(AB306=1,30,IF(AB306=2,60,IF(AB306=3,120,IF(AB306=4,180,240)))))</f>
        <v>0</v>
      </c>
      <c r="T306" s="4" t="n">
        <f aca="false">IF(Y306&gt;0,Y306*600/MAX(1,Z306),0)</f>
        <v>0</v>
      </c>
      <c r="U306" s="4" t="n">
        <f aca="false">IF(AW306&gt;0,AW306*1000000*MAX(0,MIN(22,1+LOG10(AW306)))/100/12,0)</f>
        <v>0</v>
      </c>
      <c r="AA306" s="4" t="n">
        <f aca="true">IF(K306="W",IFERROR(IF(AND(AC306&gt;0,(TODAY()-AC306)&lt;36*365.25/12),2400/((TODAY()-AC306)/30.44/6+1),0),0)+IFERROR(IF(AND(AD306&gt;0,(TODAY()-AD306)&lt;36*365.25/12),2400/((TODAY()-AD306)/30.44/6+1),0),0)+IFERROR(IF(AND(AE306&gt;0,(TODAY()-AE306)&lt;36*365.25/12),2400/((TODAY()-AE306)/30.44/6+1),0),0)+IFERROR(IF(AND(AF306&gt;0,(TODAY()-AF306)&lt;36*365.25/12),2400/((TODAY()-AF306)/30.44/6+1),0),0)+IFERROR(IF(AND(AG306&gt;0,(TODAY()-AG306)&lt;36*365.25/12),2400/((TODAY()-AG306)/30.44/6+1),0),0),0)</f>
        <v>0</v>
      </c>
      <c r="AB306" s="4" t="n">
        <f aca="false">COUNTA(AC306:AG306)</f>
        <v>0</v>
      </c>
      <c r="AY306" s="1" t="n">
        <v>306</v>
      </c>
    </row>
    <row r="307" customFormat="false" ht="15" hidden="false" customHeight="true" outlineLevel="0" collapsed="false">
      <c r="B307" s="1" t="n">
        <v>307</v>
      </c>
      <c r="L307" s="4" t="n">
        <f aca="true">YEAR(TODAY())-H307</f>
        <v>2026</v>
      </c>
      <c r="N307" s="4" t="n">
        <f aca="true">O307+IF(AT307=1,480,0)+AA307+IF(K307="M",IF(AH307&gt;0,IF((TODAY()-AH307)/30.44&lt;6,2400,IF((TODAY()-AH307)/30.44&lt;12,1200,0)),0),0)+IF(AP307&gt;0,AP307,0)-R307-T307-S307-U307</f>
        <v>450</v>
      </c>
      <c r="O307" s="4" t="n">
        <f aca="true">IF(X307=1,1200,IF(YEAR(TODAY())-H307&lt;18,0,IF(YEAR(TODAY())-H307&lt;65,300,450)))</f>
        <v>450</v>
      </c>
      <c r="R307" s="4" t="n">
        <f aca="false">IF(MIN(AM307+IF(ISNUMBER(AN307),AN307,0),16000)&gt;=600,(MIN(AM307+IF(ISNUMBER(AN307),AN307,0),16000)-600)^0.8/10000*MIN(AM307+IF(ISNUMBER(AN307),AN307,0),16000),0)</f>
        <v>0</v>
      </c>
      <c r="S307" s="4" t="n">
        <f aca="false">IF(AB307=0,0,IF(AB307=1,30,IF(AB307=2,60,IF(AB307=3,120,IF(AB307=4,180,240)))))</f>
        <v>0</v>
      </c>
      <c r="T307" s="4" t="n">
        <f aca="false">IF(Y307&gt;0,Y307*600/MAX(1,Z307),0)</f>
        <v>0</v>
      </c>
      <c r="U307" s="4" t="n">
        <f aca="false">IF(AW307&gt;0,AW307*1000000*MAX(0,MIN(22,1+LOG10(AW307)))/100/12,0)</f>
        <v>0</v>
      </c>
      <c r="AA307" s="4" t="n">
        <f aca="true">IF(K307="W",IFERROR(IF(AND(AC307&gt;0,(TODAY()-AC307)&lt;36*365.25/12),2400/((TODAY()-AC307)/30.44/6+1),0),0)+IFERROR(IF(AND(AD307&gt;0,(TODAY()-AD307)&lt;36*365.25/12),2400/((TODAY()-AD307)/30.44/6+1),0),0)+IFERROR(IF(AND(AE307&gt;0,(TODAY()-AE307)&lt;36*365.25/12),2400/((TODAY()-AE307)/30.44/6+1),0),0)+IFERROR(IF(AND(AF307&gt;0,(TODAY()-AF307)&lt;36*365.25/12),2400/((TODAY()-AF307)/30.44/6+1),0),0)+IFERROR(IF(AND(AG307&gt;0,(TODAY()-AG307)&lt;36*365.25/12),2400/((TODAY()-AG307)/30.44/6+1),0),0),0)</f>
        <v>0</v>
      </c>
      <c r="AB307" s="4" t="n">
        <f aca="false">COUNTA(AC307:AG307)</f>
        <v>0</v>
      </c>
      <c r="AY307" s="1" t="n">
        <v>307</v>
      </c>
    </row>
    <row r="308" customFormat="false" ht="15" hidden="false" customHeight="true" outlineLevel="0" collapsed="false">
      <c r="B308" s="1" t="n">
        <v>308</v>
      </c>
      <c r="L308" s="4" t="n">
        <f aca="true">YEAR(TODAY())-H308</f>
        <v>2026</v>
      </c>
      <c r="N308" s="4" t="n">
        <f aca="true">O308+IF(AT308=1,480,0)+AA308+IF(K308="M",IF(AH308&gt;0,IF((TODAY()-AH308)/30.44&lt;6,2400,IF((TODAY()-AH308)/30.44&lt;12,1200,0)),0),0)+IF(AP308&gt;0,AP308,0)-R308-T308-S308-U308</f>
        <v>450</v>
      </c>
      <c r="O308" s="4" t="n">
        <f aca="true">IF(X308=1,1200,IF(YEAR(TODAY())-H308&lt;18,0,IF(YEAR(TODAY())-H308&lt;65,300,450)))</f>
        <v>450</v>
      </c>
      <c r="R308" s="4" t="n">
        <f aca="false">IF(MIN(AM308+IF(ISNUMBER(AN308),AN308,0),16000)&gt;=600,(MIN(AM308+IF(ISNUMBER(AN308),AN308,0),16000)-600)^0.8/10000*MIN(AM308+IF(ISNUMBER(AN308),AN308,0),16000),0)</f>
        <v>0</v>
      </c>
      <c r="S308" s="4" t="n">
        <f aca="false">IF(AB308=0,0,IF(AB308=1,30,IF(AB308=2,60,IF(AB308=3,120,IF(AB308=4,180,240)))))</f>
        <v>0</v>
      </c>
      <c r="T308" s="4" t="n">
        <f aca="false">IF(Y308&gt;0,Y308*600/MAX(1,Z308),0)</f>
        <v>0</v>
      </c>
      <c r="U308" s="4" t="n">
        <f aca="false">IF(AW308&gt;0,AW308*1000000*MAX(0,MIN(22,1+LOG10(AW308)))/100/12,0)</f>
        <v>0</v>
      </c>
      <c r="AA308" s="4" t="n">
        <f aca="true">IF(K308="W",IFERROR(IF(AND(AC308&gt;0,(TODAY()-AC308)&lt;36*365.25/12),2400/((TODAY()-AC308)/30.44/6+1),0),0)+IFERROR(IF(AND(AD308&gt;0,(TODAY()-AD308)&lt;36*365.25/12),2400/((TODAY()-AD308)/30.44/6+1),0),0)+IFERROR(IF(AND(AE308&gt;0,(TODAY()-AE308)&lt;36*365.25/12),2400/((TODAY()-AE308)/30.44/6+1),0),0)+IFERROR(IF(AND(AF308&gt;0,(TODAY()-AF308)&lt;36*365.25/12),2400/((TODAY()-AF308)/30.44/6+1),0),0)+IFERROR(IF(AND(AG308&gt;0,(TODAY()-AG308)&lt;36*365.25/12),2400/((TODAY()-AG308)/30.44/6+1),0),0),0)</f>
        <v>0</v>
      </c>
      <c r="AB308" s="4" t="n">
        <f aca="false">COUNTA(AC308:AG308)</f>
        <v>0</v>
      </c>
      <c r="AY308" s="1" t="n">
        <v>308</v>
      </c>
    </row>
    <row r="309" customFormat="false" ht="15" hidden="false" customHeight="true" outlineLevel="0" collapsed="false">
      <c r="B309" s="1" t="n">
        <v>309</v>
      </c>
      <c r="L309" s="4" t="n">
        <f aca="true">YEAR(TODAY())-H309</f>
        <v>2026</v>
      </c>
      <c r="N309" s="4" t="n">
        <f aca="true">O309+IF(AT309=1,480,0)+AA309+IF(K309="M",IF(AH309&gt;0,IF((TODAY()-AH309)/30.44&lt;6,2400,IF((TODAY()-AH309)/30.44&lt;12,1200,0)),0),0)+IF(AP309&gt;0,AP309,0)-R309-T309-S309-U309</f>
        <v>450</v>
      </c>
      <c r="O309" s="4" t="n">
        <f aca="true">IF(X309=1,1200,IF(YEAR(TODAY())-H309&lt;18,0,IF(YEAR(TODAY())-H309&lt;65,300,450)))</f>
        <v>450</v>
      </c>
      <c r="R309" s="4" t="n">
        <f aca="false">IF(MIN(AM309+IF(ISNUMBER(AN309),AN309,0),16000)&gt;=600,(MIN(AM309+IF(ISNUMBER(AN309),AN309,0),16000)-600)^0.8/10000*MIN(AM309+IF(ISNUMBER(AN309),AN309,0),16000),0)</f>
        <v>0</v>
      </c>
      <c r="S309" s="4" t="n">
        <f aca="false">IF(AB309=0,0,IF(AB309=1,30,IF(AB309=2,60,IF(AB309=3,120,IF(AB309=4,180,240)))))</f>
        <v>0</v>
      </c>
      <c r="T309" s="4" t="n">
        <f aca="false">IF(Y309&gt;0,Y309*600/MAX(1,Z309),0)</f>
        <v>0</v>
      </c>
      <c r="U309" s="4" t="n">
        <f aca="false">IF(AW309&gt;0,AW309*1000000*MAX(0,MIN(22,1+LOG10(AW309)))/100/12,0)</f>
        <v>0</v>
      </c>
      <c r="AA309" s="4" t="n">
        <f aca="true">IF(K309="W",IFERROR(IF(AND(AC309&gt;0,(TODAY()-AC309)&lt;36*365.25/12),2400/((TODAY()-AC309)/30.44/6+1),0),0)+IFERROR(IF(AND(AD309&gt;0,(TODAY()-AD309)&lt;36*365.25/12),2400/((TODAY()-AD309)/30.44/6+1),0),0)+IFERROR(IF(AND(AE309&gt;0,(TODAY()-AE309)&lt;36*365.25/12),2400/((TODAY()-AE309)/30.44/6+1),0),0)+IFERROR(IF(AND(AF309&gt;0,(TODAY()-AF309)&lt;36*365.25/12),2400/((TODAY()-AF309)/30.44/6+1),0),0)+IFERROR(IF(AND(AG309&gt;0,(TODAY()-AG309)&lt;36*365.25/12),2400/((TODAY()-AG309)/30.44/6+1),0),0),0)</f>
        <v>0</v>
      </c>
      <c r="AB309" s="4" t="n">
        <f aca="false">COUNTA(AC309:AG309)</f>
        <v>0</v>
      </c>
      <c r="AY309" s="1" t="n">
        <v>309</v>
      </c>
    </row>
    <row r="310" customFormat="false" ht="15" hidden="false" customHeight="true" outlineLevel="0" collapsed="false">
      <c r="B310" s="1" t="n">
        <v>310</v>
      </c>
      <c r="L310" s="4" t="n">
        <f aca="true">YEAR(TODAY())-H310</f>
        <v>2026</v>
      </c>
      <c r="N310" s="4" t="n">
        <f aca="true">O310+IF(AT310=1,480,0)+AA310+IF(K310="M",IF(AH310&gt;0,IF((TODAY()-AH310)/30.44&lt;6,2400,IF((TODAY()-AH310)/30.44&lt;12,1200,0)),0),0)+IF(AP310&gt;0,AP310,0)-R310-T310-S310-U310</f>
        <v>450</v>
      </c>
      <c r="O310" s="4" t="n">
        <f aca="true">IF(X310=1,1200,IF(YEAR(TODAY())-H310&lt;18,0,IF(YEAR(TODAY())-H310&lt;65,300,450)))</f>
        <v>450</v>
      </c>
      <c r="R310" s="4" t="n">
        <f aca="false">IF(MIN(AM310+IF(ISNUMBER(AN310),AN310,0),16000)&gt;=600,(MIN(AM310+IF(ISNUMBER(AN310),AN310,0),16000)-600)^0.8/10000*MIN(AM310+IF(ISNUMBER(AN310),AN310,0),16000),0)</f>
        <v>0</v>
      </c>
      <c r="S310" s="4" t="n">
        <f aca="false">IF(AB310=0,0,IF(AB310=1,30,IF(AB310=2,60,IF(AB310=3,120,IF(AB310=4,180,240)))))</f>
        <v>0</v>
      </c>
      <c r="T310" s="4" t="n">
        <f aca="false">IF(Y310&gt;0,Y310*600/MAX(1,Z310),0)</f>
        <v>0</v>
      </c>
      <c r="U310" s="4" t="n">
        <f aca="false">IF(AW310&gt;0,AW310*1000000*MAX(0,MIN(22,1+LOG10(AW310)))/100/12,0)</f>
        <v>0</v>
      </c>
      <c r="AA310" s="4" t="n">
        <f aca="true">IF(K310="W",IFERROR(IF(AND(AC310&gt;0,(TODAY()-AC310)&lt;36*365.25/12),2400/((TODAY()-AC310)/30.44/6+1),0),0)+IFERROR(IF(AND(AD310&gt;0,(TODAY()-AD310)&lt;36*365.25/12),2400/((TODAY()-AD310)/30.44/6+1),0),0)+IFERROR(IF(AND(AE310&gt;0,(TODAY()-AE310)&lt;36*365.25/12),2400/((TODAY()-AE310)/30.44/6+1),0),0)+IFERROR(IF(AND(AF310&gt;0,(TODAY()-AF310)&lt;36*365.25/12),2400/((TODAY()-AF310)/30.44/6+1),0),0)+IFERROR(IF(AND(AG310&gt;0,(TODAY()-AG310)&lt;36*365.25/12),2400/((TODAY()-AG310)/30.44/6+1),0),0),0)</f>
        <v>0</v>
      </c>
      <c r="AB310" s="4" t="n">
        <f aca="false">COUNTA(AC310:AG310)</f>
        <v>0</v>
      </c>
      <c r="AY310" s="1" t="n">
        <v>310</v>
      </c>
    </row>
    <row r="311" customFormat="false" ht="15" hidden="false" customHeight="true" outlineLevel="0" collapsed="false">
      <c r="B311" s="1" t="n">
        <v>311</v>
      </c>
      <c r="L311" s="4" t="n">
        <f aca="true">YEAR(TODAY())-H311</f>
        <v>2026</v>
      </c>
      <c r="N311" s="4" t="n">
        <f aca="true">O311+IF(AT311=1,480,0)+AA311+IF(K311="M",IF(AH311&gt;0,IF((TODAY()-AH311)/30.44&lt;6,2400,IF((TODAY()-AH311)/30.44&lt;12,1200,0)),0),0)+IF(AP311&gt;0,AP311,0)-R311-T311-S311-U311</f>
        <v>450</v>
      </c>
      <c r="O311" s="4" t="n">
        <f aca="true">IF(X311=1,1200,IF(YEAR(TODAY())-H311&lt;18,0,IF(YEAR(TODAY())-H311&lt;65,300,450)))</f>
        <v>450</v>
      </c>
      <c r="R311" s="4" t="n">
        <f aca="false">IF(MIN(AM311+IF(ISNUMBER(AN311),AN311,0),16000)&gt;=600,(MIN(AM311+IF(ISNUMBER(AN311),AN311,0),16000)-600)^0.8/10000*MIN(AM311+IF(ISNUMBER(AN311),AN311,0),16000),0)</f>
        <v>0</v>
      </c>
      <c r="S311" s="4" t="n">
        <f aca="false">IF(AB311=0,0,IF(AB311=1,30,IF(AB311=2,60,IF(AB311=3,120,IF(AB311=4,180,240)))))</f>
        <v>0</v>
      </c>
      <c r="T311" s="4" t="n">
        <f aca="false">IF(Y311&gt;0,Y311*600/MAX(1,Z311),0)</f>
        <v>0</v>
      </c>
      <c r="U311" s="4" t="n">
        <f aca="false">IF(AW311&gt;0,AW311*1000000*MAX(0,MIN(22,1+LOG10(AW311)))/100/12,0)</f>
        <v>0</v>
      </c>
      <c r="AA311" s="4" t="n">
        <f aca="true">IF(K311="W",IFERROR(IF(AND(AC311&gt;0,(TODAY()-AC311)&lt;36*365.25/12),2400/((TODAY()-AC311)/30.44/6+1),0),0)+IFERROR(IF(AND(AD311&gt;0,(TODAY()-AD311)&lt;36*365.25/12),2400/((TODAY()-AD311)/30.44/6+1),0),0)+IFERROR(IF(AND(AE311&gt;0,(TODAY()-AE311)&lt;36*365.25/12),2400/((TODAY()-AE311)/30.44/6+1),0),0)+IFERROR(IF(AND(AF311&gt;0,(TODAY()-AF311)&lt;36*365.25/12),2400/((TODAY()-AF311)/30.44/6+1),0),0)+IFERROR(IF(AND(AG311&gt;0,(TODAY()-AG311)&lt;36*365.25/12),2400/((TODAY()-AG311)/30.44/6+1),0),0),0)</f>
        <v>0</v>
      </c>
      <c r="AB311" s="4" t="n">
        <f aca="false">COUNTA(AC311:AG311)</f>
        <v>0</v>
      </c>
      <c r="AY311" s="1" t="n">
        <v>311</v>
      </c>
    </row>
    <row r="312" customFormat="false" ht="15" hidden="false" customHeight="true" outlineLevel="0" collapsed="false">
      <c r="B312" s="1" t="n">
        <v>312</v>
      </c>
      <c r="L312" s="4" t="n">
        <f aca="true">YEAR(TODAY())-H312</f>
        <v>2026</v>
      </c>
      <c r="N312" s="4" t="n">
        <f aca="true">O312+IF(AT312=1,480,0)+AA312+IF(K312="M",IF(AH312&gt;0,IF((TODAY()-AH312)/30.44&lt;6,2400,IF((TODAY()-AH312)/30.44&lt;12,1200,0)),0),0)+IF(AP312&gt;0,AP312,0)-R312-T312-S312-U312</f>
        <v>450</v>
      </c>
      <c r="O312" s="4" t="n">
        <f aca="true">IF(X312=1,1200,IF(YEAR(TODAY())-H312&lt;18,0,IF(YEAR(TODAY())-H312&lt;65,300,450)))</f>
        <v>450</v>
      </c>
      <c r="R312" s="4" t="n">
        <f aca="false">IF(MIN(AM312+IF(ISNUMBER(AN312),AN312,0),16000)&gt;=600,(MIN(AM312+IF(ISNUMBER(AN312),AN312,0),16000)-600)^0.8/10000*MIN(AM312+IF(ISNUMBER(AN312),AN312,0),16000),0)</f>
        <v>0</v>
      </c>
      <c r="S312" s="4" t="n">
        <f aca="false">IF(AB312=0,0,IF(AB312=1,30,IF(AB312=2,60,IF(AB312=3,120,IF(AB312=4,180,240)))))</f>
        <v>0</v>
      </c>
      <c r="T312" s="4" t="n">
        <f aca="false">IF(Y312&gt;0,Y312*600/MAX(1,Z312),0)</f>
        <v>0</v>
      </c>
      <c r="U312" s="4" t="n">
        <f aca="false">IF(AW312&gt;0,AW312*1000000*MAX(0,MIN(22,1+LOG10(AW312)))/100/12,0)</f>
        <v>0</v>
      </c>
      <c r="AA312" s="4" t="n">
        <f aca="true">IF(K312="W",IFERROR(IF(AND(AC312&gt;0,(TODAY()-AC312)&lt;36*365.25/12),2400/((TODAY()-AC312)/30.44/6+1),0),0)+IFERROR(IF(AND(AD312&gt;0,(TODAY()-AD312)&lt;36*365.25/12),2400/((TODAY()-AD312)/30.44/6+1),0),0)+IFERROR(IF(AND(AE312&gt;0,(TODAY()-AE312)&lt;36*365.25/12),2400/((TODAY()-AE312)/30.44/6+1),0),0)+IFERROR(IF(AND(AF312&gt;0,(TODAY()-AF312)&lt;36*365.25/12),2400/((TODAY()-AF312)/30.44/6+1),0),0)+IFERROR(IF(AND(AG312&gt;0,(TODAY()-AG312)&lt;36*365.25/12),2400/((TODAY()-AG312)/30.44/6+1),0),0),0)</f>
        <v>0</v>
      </c>
      <c r="AB312" s="4" t="n">
        <f aca="false">COUNTA(AC312:AG312)</f>
        <v>0</v>
      </c>
      <c r="AY312" s="1" t="n">
        <v>312</v>
      </c>
    </row>
    <row r="313" customFormat="false" ht="15" hidden="false" customHeight="true" outlineLevel="0" collapsed="false">
      <c r="B313" s="1" t="n">
        <v>313</v>
      </c>
      <c r="L313" s="4" t="n">
        <f aca="true">YEAR(TODAY())-H313</f>
        <v>2026</v>
      </c>
      <c r="N313" s="4" t="n">
        <f aca="true">O313+IF(AT313=1,480,0)+AA313+IF(K313="M",IF(AH313&gt;0,IF((TODAY()-AH313)/30.44&lt;6,2400,IF((TODAY()-AH313)/30.44&lt;12,1200,0)),0),0)+IF(AP313&gt;0,AP313,0)-R313-T313-S313-U313</f>
        <v>450</v>
      </c>
      <c r="O313" s="4" t="n">
        <f aca="true">IF(X313=1,1200,IF(YEAR(TODAY())-H313&lt;18,0,IF(YEAR(TODAY())-H313&lt;65,300,450)))</f>
        <v>450</v>
      </c>
      <c r="R313" s="4" t="n">
        <f aca="false">IF(MIN(AM313+IF(ISNUMBER(AN313),AN313,0),16000)&gt;=600,(MIN(AM313+IF(ISNUMBER(AN313),AN313,0),16000)-600)^0.8/10000*MIN(AM313+IF(ISNUMBER(AN313),AN313,0),16000),0)</f>
        <v>0</v>
      </c>
      <c r="S313" s="4" t="n">
        <f aca="false">IF(AB313=0,0,IF(AB313=1,30,IF(AB313=2,60,IF(AB313=3,120,IF(AB313=4,180,240)))))</f>
        <v>0</v>
      </c>
      <c r="T313" s="4" t="n">
        <f aca="false">IF(Y313&gt;0,Y313*600/MAX(1,Z313),0)</f>
        <v>0</v>
      </c>
      <c r="U313" s="4" t="n">
        <f aca="false">IF(AW313&gt;0,AW313*1000000*MAX(0,MIN(22,1+LOG10(AW313)))/100/12,0)</f>
        <v>0</v>
      </c>
      <c r="AA313" s="4" t="n">
        <f aca="true">IF(K313="W",IFERROR(IF(AND(AC313&gt;0,(TODAY()-AC313)&lt;36*365.25/12),2400/((TODAY()-AC313)/30.44/6+1),0),0)+IFERROR(IF(AND(AD313&gt;0,(TODAY()-AD313)&lt;36*365.25/12),2400/((TODAY()-AD313)/30.44/6+1),0),0)+IFERROR(IF(AND(AE313&gt;0,(TODAY()-AE313)&lt;36*365.25/12),2400/((TODAY()-AE313)/30.44/6+1),0),0)+IFERROR(IF(AND(AF313&gt;0,(TODAY()-AF313)&lt;36*365.25/12),2400/((TODAY()-AF313)/30.44/6+1),0),0)+IFERROR(IF(AND(AG313&gt;0,(TODAY()-AG313)&lt;36*365.25/12),2400/((TODAY()-AG313)/30.44/6+1),0),0),0)</f>
        <v>0</v>
      </c>
      <c r="AB313" s="4" t="n">
        <f aca="false">COUNTA(AC313:AG313)</f>
        <v>0</v>
      </c>
      <c r="AY313" s="1" t="n">
        <v>313</v>
      </c>
    </row>
    <row r="314" customFormat="false" ht="15" hidden="false" customHeight="true" outlineLevel="0" collapsed="false">
      <c r="B314" s="1" t="n">
        <v>314</v>
      </c>
      <c r="L314" s="4" t="n">
        <f aca="true">YEAR(TODAY())-H314</f>
        <v>2026</v>
      </c>
      <c r="N314" s="4" t="n">
        <f aca="true">O314+IF(AT314=1,480,0)+AA314+IF(K314="M",IF(AH314&gt;0,IF((TODAY()-AH314)/30.44&lt;6,2400,IF((TODAY()-AH314)/30.44&lt;12,1200,0)),0),0)+IF(AP314&gt;0,AP314,0)-R314-T314-S314-U314</f>
        <v>450</v>
      </c>
      <c r="O314" s="4" t="n">
        <f aca="true">IF(X314=1,1200,IF(YEAR(TODAY())-H314&lt;18,0,IF(YEAR(TODAY())-H314&lt;65,300,450)))</f>
        <v>450</v>
      </c>
      <c r="R314" s="4" t="n">
        <f aca="false">IF(MIN(AM314+IF(ISNUMBER(AN314),AN314,0),16000)&gt;=600,(MIN(AM314+IF(ISNUMBER(AN314),AN314,0),16000)-600)^0.8/10000*MIN(AM314+IF(ISNUMBER(AN314),AN314,0),16000),0)</f>
        <v>0</v>
      </c>
      <c r="S314" s="4" t="n">
        <f aca="false">IF(AB314=0,0,IF(AB314=1,30,IF(AB314=2,60,IF(AB314=3,120,IF(AB314=4,180,240)))))</f>
        <v>0</v>
      </c>
      <c r="T314" s="4" t="n">
        <f aca="false">IF(Y314&gt;0,Y314*600/MAX(1,Z314),0)</f>
        <v>0</v>
      </c>
      <c r="U314" s="4" t="n">
        <f aca="false">IF(AW314&gt;0,AW314*1000000*MAX(0,MIN(22,1+LOG10(AW314)))/100/12,0)</f>
        <v>0</v>
      </c>
      <c r="AA314" s="4" t="n">
        <f aca="true">IF(K314="W",IFERROR(IF(AND(AC314&gt;0,(TODAY()-AC314)&lt;36*365.25/12),2400/((TODAY()-AC314)/30.44/6+1),0),0)+IFERROR(IF(AND(AD314&gt;0,(TODAY()-AD314)&lt;36*365.25/12),2400/((TODAY()-AD314)/30.44/6+1),0),0)+IFERROR(IF(AND(AE314&gt;0,(TODAY()-AE314)&lt;36*365.25/12),2400/((TODAY()-AE314)/30.44/6+1),0),0)+IFERROR(IF(AND(AF314&gt;0,(TODAY()-AF314)&lt;36*365.25/12),2400/((TODAY()-AF314)/30.44/6+1),0),0)+IFERROR(IF(AND(AG314&gt;0,(TODAY()-AG314)&lt;36*365.25/12),2400/((TODAY()-AG314)/30.44/6+1),0),0),0)</f>
        <v>0</v>
      </c>
      <c r="AB314" s="4" t="n">
        <f aca="false">COUNTA(AC314:AG314)</f>
        <v>0</v>
      </c>
      <c r="AY314" s="1" t="n">
        <v>314</v>
      </c>
    </row>
    <row r="315" customFormat="false" ht="15" hidden="false" customHeight="true" outlineLevel="0" collapsed="false">
      <c r="B315" s="1" t="n">
        <v>315</v>
      </c>
      <c r="L315" s="4" t="n">
        <f aca="true">YEAR(TODAY())-H315</f>
        <v>2026</v>
      </c>
      <c r="N315" s="4" t="n">
        <f aca="true">O315+IF(AT315=1,480,0)+AA315+IF(K315="M",IF(AH315&gt;0,IF((TODAY()-AH315)/30.44&lt;6,2400,IF((TODAY()-AH315)/30.44&lt;12,1200,0)),0),0)+IF(AP315&gt;0,AP315,0)-R315-T315-S315-U315</f>
        <v>450</v>
      </c>
      <c r="O315" s="4" t="n">
        <f aca="true">IF(X315=1,1200,IF(YEAR(TODAY())-H315&lt;18,0,IF(YEAR(TODAY())-H315&lt;65,300,450)))</f>
        <v>450</v>
      </c>
      <c r="R315" s="4" t="n">
        <f aca="false">IF(MIN(AM315+IF(ISNUMBER(AN315),AN315,0),16000)&gt;=600,(MIN(AM315+IF(ISNUMBER(AN315),AN315,0),16000)-600)^0.8/10000*MIN(AM315+IF(ISNUMBER(AN315),AN315,0),16000),0)</f>
        <v>0</v>
      </c>
      <c r="S315" s="4" t="n">
        <f aca="false">IF(AB315=0,0,IF(AB315=1,30,IF(AB315=2,60,IF(AB315=3,120,IF(AB315=4,180,240)))))</f>
        <v>0</v>
      </c>
      <c r="T315" s="4" t="n">
        <f aca="false">IF(Y315&gt;0,Y315*600/MAX(1,Z315),0)</f>
        <v>0</v>
      </c>
      <c r="U315" s="4" t="n">
        <f aca="false">IF(AW315&gt;0,AW315*1000000*MAX(0,MIN(22,1+LOG10(AW315)))/100/12,0)</f>
        <v>0</v>
      </c>
      <c r="AA315" s="4" t="n">
        <f aca="true">IF(K315="W",IFERROR(IF(AND(AC315&gt;0,(TODAY()-AC315)&lt;36*365.25/12),2400/((TODAY()-AC315)/30.44/6+1),0),0)+IFERROR(IF(AND(AD315&gt;0,(TODAY()-AD315)&lt;36*365.25/12),2400/((TODAY()-AD315)/30.44/6+1),0),0)+IFERROR(IF(AND(AE315&gt;0,(TODAY()-AE315)&lt;36*365.25/12),2400/((TODAY()-AE315)/30.44/6+1),0),0)+IFERROR(IF(AND(AF315&gt;0,(TODAY()-AF315)&lt;36*365.25/12),2400/((TODAY()-AF315)/30.44/6+1),0),0)+IFERROR(IF(AND(AG315&gt;0,(TODAY()-AG315)&lt;36*365.25/12),2400/((TODAY()-AG315)/30.44/6+1),0),0),0)</f>
        <v>0</v>
      </c>
      <c r="AB315" s="4" t="n">
        <f aca="false">COUNTA(AC315:AG315)</f>
        <v>0</v>
      </c>
      <c r="AY315" s="1" t="n">
        <v>315</v>
      </c>
    </row>
    <row r="316" customFormat="false" ht="15" hidden="false" customHeight="true" outlineLevel="0" collapsed="false">
      <c r="B316" s="1" t="n">
        <v>316</v>
      </c>
      <c r="L316" s="4" t="n">
        <f aca="true">YEAR(TODAY())-H316</f>
        <v>2026</v>
      </c>
      <c r="N316" s="4" t="n">
        <f aca="true">O316+IF(AT316=1,480,0)+AA316+IF(K316="M",IF(AH316&gt;0,IF((TODAY()-AH316)/30.44&lt;6,2400,IF((TODAY()-AH316)/30.44&lt;12,1200,0)),0),0)+IF(AP316&gt;0,AP316,0)-R316-T316-S316-U316</f>
        <v>450</v>
      </c>
      <c r="O316" s="4" t="n">
        <f aca="true">IF(X316=1,1200,IF(YEAR(TODAY())-H316&lt;18,0,IF(YEAR(TODAY())-H316&lt;65,300,450)))</f>
        <v>450</v>
      </c>
      <c r="R316" s="4" t="n">
        <f aca="false">IF(MIN(AM316+IF(ISNUMBER(AN316),AN316,0),16000)&gt;=600,(MIN(AM316+IF(ISNUMBER(AN316),AN316,0),16000)-600)^0.8/10000*MIN(AM316+IF(ISNUMBER(AN316),AN316,0),16000),0)</f>
        <v>0</v>
      </c>
      <c r="S316" s="4" t="n">
        <f aca="false">IF(AB316=0,0,IF(AB316=1,30,IF(AB316=2,60,IF(AB316=3,120,IF(AB316=4,180,240)))))</f>
        <v>0</v>
      </c>
      <c r="T316" s="4" t="n">
        <f aca="false">IF(Y316&gt;0,Y316*600/MAX(1,Z316),0)</f>
        <v>0</v>
      </c>
      <c r="U316" s="4" t="n">
        <f aca="false">IF(AW316&gt;0,AW316*1000000*MAX(0,MIN(22,1+LOG10(AW316)))/100/12,0)</f>
        <v>0</v>
      </c>
      <c r="AA316" s="4" t="n">
        <f aca="true">IF(K316="W",IFERROR(IF(AND(AC316&gt;0,(TODAY()-AC316)&lt;36*365.25/12),2400/((TODAY()-AC316)/30.44/6+1),0),0)+IFERROR(IF(AND(AD316&gt;0,(TODAY()-AD316)&lt;36*365.25/12),2400/((TODAY()-AD316)/30.44/6+1),0),0)+IFERROR(IF(AND(AE316&gt;0,(TODAY()-AE316)&lt;36*365.25/12),2400/((TODAY()-AE316)/30.44/6+1),0),0)+IFERROR(IF(AND(AF316&gt;0,(TODAY()-AF316)&lt;36*365.25/12),2400/((TODAY()-AF316)/30.44/6+1),0),0)+IFERROR(IF(AND(AG316&gt;0,(TODAY()-AG316)&lt;36*365.25/12),2400/((TODAY()-AG316)/30.44/6+1),0),0),0)</f>
        <v>0</v>
      </c>
      <c r="AB316" s="4" t="n">
        <f aca="false">COUNTA(AC316:AG316)</f>
        <v>0</v>
      </c>
      <c r="AY316" s="1" t="n">
        <v>316</v>
      </c>
    </row>
    <row r="317" customFormat="false" ht="15" hidden="false" customHeight="true" outlineLevel="0" collapsed="false">
      <c r="B317" s="1" t="n">
        <v>317</v>
      </c>
      <c r="L317" s="4" t="n">
        <f aca="true">YEAR(TODAY())-H317</f>
        <v>2026</v>
      </c>
      <c r="N317" s="4" t="n">
        <f aca="true">O317+IF(AT317=1,480,0)+AA317+IF(K317="M",IF(AH317&gt;0,IF((TODAY()-AH317)/30.44&lt;6,2400,IF((TODAY()-AH317)/30.44&lt;12,1200,0)),0),0)+IF(AP317&gt;0,AP317,0)-R317-T317-S317-U317</f>
        <v>450</v>
      </c>
      <c r="O317" s="4" t="n">
        <f aca="true">IF(X317=1,1200,IF(YEAR(TODAY())-H317&lt;18,0,IF(YEAR(TODAY())-H317&lt;65,300,450)))</f>
        <v>450</v>
      </c>
      <c r="R317" s="4" t="n">
        <f aca="false">IF(MIN(AM317+IF(ISNUMBER(AN317),AN317,0),16000)&gt;=600,(MIN(AM317+IF(ISNUMBER(AN317),AN317,0),16000)-600)^0.8/10000*MIN(AM317+IF(ISNUMBER(AN317),AN317,0),16000),0)</f>
        <v>0</v>
      </c>
      <c r="S317" s="4" t="n">
        <f aca="false">IF(AB317=0,0,IF(AB317=1,30,IF(AB317=2,60,IF(AB317=3,120,IF(AB317=4,180,240)))))</f>
        <v>0</v>
      </c>
      <c r="T317" s="4" t="n">
        <f aca="false">IF(Y317&gt;0,Y317*600/MAX(1,Z317),0)</f>
        <v>0</v>
      </c>
      <c r="U317" s="4" t="n">
        <f aca="false">IF(AW317&gt;0,AW317*1000000*MAX(0,MIN(22,1+LOG10(AW317)))/100/12,0)</f>
        <v>0</v>
      </c>
      <c r="AA317" s="4" t="n">
        <f aca="true">IF(K317="W",IFERROR(IF(AND(AC317&gt;0,(TODAY()-AC317)&lt;36*365.25/12),2400/((TODAY()-AC317)/30.44/6+1),0),0)+IFERROR(IF(AND(AD317&gt;0,(TODAY()-AD317)&lt;36*365.25/12),2400/((TODAY()-AD317)/30.44/6+1),0),0)+IFERROR(IF(AND(AE317&gt;0,(TODAY()-AE317)&lt;36*365.25/12),2400/((TODAY()-AE317)/30.44/6+1),0),0)+IFERROR(IF(AND(AF317&gt;0,(TODAY()-AF317)&lt;36*365.25/12),2400/((TODAY()-AF317)/30.44/6+1),0),0)+IFERROR(IF(AND(AG317&gt;0,(TODAY()-AG317)&lt;36*365.25/12),2400/((TODAY()-AG317)/30.44/6+1),0),0),0)</f>
        <v>0</v>
      </c>
      <c r="AB317" s="4" t="n">
        <f aca="false">COUNTA(AC317:AG317)</f>
        <v>0</v>
      </c>
      <c r="AY317" s="1" t="n">
        <v>317</v>
      </c>
    </row>
    <row r="318" customFormat="false" ht="15" hidden="false" customHeight="true" outlineLevel="0" collapsed="false">
      <c r="B318" s="1" t="n">
        <v>318</v>
      </c>
      <c r="L318" s="4" t="n">
        <f aca="true">YEAR(TODAY())-H318</f>
        <v>2026</v>
      </c>
      <c r="N318" s="4" t="n">
        <f aca="true">O318+IF(AT318=1,480,0)+AA318+IF(K318="M",IF(AH318&gt;0,IF((TODAY()-AH318)/30.44&lt;6,2400,IF((TODAY()-AH318)/30.44&lt;12,1200,0)),0),0)+IF(AP318&gt;0,AP318,0)-R318-T318-S318-U318</f>
        <v>450</v>
      </c>
      <c r="O318" s="4" t="n">
        <f aca="true">IF(X318=1,1200,IF(YEAR(TODAY())-H318&lt;18,0,IF(YEAR(TODAY())-H318&lt;65,300,450)))</f>
        <v>450</v>
      </c>
      <c r="R318" s="4" t="n">
        <f aca="false">IF(MIN(AM318+IF(ISNUMBER(AN318),AN318,0),16000)&gt;=600,(MIN(AM318+IF(ISNUMBER(AN318),AN318,0),16000)-600)^0.8/10000*MIN(AM318+IF(ISNUMBER(AN318),AN318,0),16000),0)</f>
        <v>0</v>
      </c>
      <c r="S318" s="4" t="n">
        <f aca="false">IF(AB318=0,0,IF(AB318=1,30,IF(AB318=2,60,IF(AB318=3,120,IF(AB318=4,180,240)))))</f>
        <v>0</v>
      </c>
      <c r="T318" s="4" t="n">
        <f aca="false">IF(Y318&gt;0,Y318*600/MAX(1,Z318),0)</f>
        <v>0</v>
      </c>
      <c r="U318" s="4" t="n">
        <f aca="false">IF(AW318&gt;0,AW318*1000000*MAX(0,MIN(22,1+LOG10(AW318)))/100/12,0)</f>
        <v>0</v>
      </c>
      <c r="AA318" s="4" t="n">
        <f aca="true">IF(K318="W",IFERROR(IF(AND(AC318&gt;0,(TODAY()-AC318)&lt;36*365.25/12),2400/((TODAY()-AC318)/30.44/6+1),0),0)+IFERROR(IF(AND(AD318&gt;0,(TODAY()-AD318)&lt;36*365.25/12),2400/((TODAY()-AD318)/30.44/6+1),0),0)+IFERROR(IF(AND(AE318&gt;0,(TODAY()-AE318)&lt;36*365.25/12),2400/((TODAY()-AE318)/30.44/6+1),0),0)+IFERROR(IF(AND(AF318&gt;0,(TODAY()-AF318)&lt;36*365.25/12),2400/((TODAY()-AF318)/30.44/6+1),0),0)+IFERROR(IF(AND(AG318&gt;0,(TODAY()-AG318)&lt;36*365.25/12),2400/((TODAY()-AG318)/30.44/6+1),0),0),0)</f>
        <v>0</v>
      </c>
      <c r="AB318" s="4" t="n">
        <f aca="false">COUNTA(AC318:AG318)</f>
        <v>0</v>
      </c>
      <c r="AY318" s="1" t="n">
        <v>318</v>
      </c>
    </row>
    <row r="319" customFormat="false" ht="15" hidden="false" customHeight="true" outlineLevel="0" collapsed="false">
      <c r="B319" s="1" t="n">
        <v>319</v>
      </c>
      <c r="L319" s="4" t="n">
        <f aca="true">YEAR(TODAY())-H319</f>
        <v>2026</v>
      </c>
      <c r="N319" s="4" t="n">
        <f aca="true">O319+IF(AT319=1,480,0)+AA319+IF(K319="M",IF(AH319&gt;0,IF((TODAY()-AH319)/30.44&lt;6,2400,IF((TODAY()-AH319)/30.44&lt;12,1200,0)),0),0)+IF(AP319&gt;0,AP319,0)-R319-T319-S319-U319</f>
        <v>450</v>
      </c>
      <c r="O319" s="4" t="n">
        <f aca="true">IF(X319=1,1200,IF(YEAR(TODAY())-H319&lt;18,0,IF(YEAR(TODAY())-H319&lt;65,300,450)))</f>
        <v>450</v>
      </c>
      <c r="R319" s="4" t="n">
        <f aca="false">IF(MIN(AM319+IF(ISNUMBER(AN319),AN319,0),16000)&gt;=600,(MIN(AM319+IF(ISNUMBER(AN319),AN319,0),16000)-600)^0.8/10000*MIN(AM319+IF(ISNUMBER(AN319),AN319,0),16000),0)</f>
        <v>0</v>
      </c>
      <c r="S319" s="4" t="n">
        <f aca="false">IF(AB319=0,0,IF(AB319=1,30,IF(AB319=2,60,IF(AB319=3,120,IF(AB319=4,180,240)))))</f>
        <v>0</v>
      </c>
      <c r="T319" s="4" t="n">
        <f aca="false">IF(Y319&gt;0,Y319*600/MAX(1,Z319),0)</f>
        <v>0</v>
      </c>
      <c r="U319" s="4" t="n">
        <f aca="false">IF(AW319&gt;0,AW319*1000000*MAX(0,MIN(22,1+LOG10(AW319)))/100/12,0)</f>
        <v>0</v>
      </c>
      <c r="AA319" s="4" t="n">
        <f aca="true">IF(K319="W",IFERROR(IF(AND(AC319&gt;0,(TODAY()-AC319)&lt;36*365.25/12),2400/((TODAY()-AC319)/30.44/6+1),0),0)+IFERROR(IF(AND(AD319&gt;0,(TODAY()-AD319)&lt;36*365.25/12),2400/((TODAY()-AD319)/30.44/6+1),0),0)+IFERROR(IF(AND(AE319&gt;0,(TODAY()-AE319)&lt;36*365.25/12),2400/((TODAY()-AE319)/30.44/6+1),0),0)+IFERROR(IF(AND(AF319&gt;0,(TODAY()-AF319)&lt;36*365.25/12),2400/((TODAY()-AF319)/30.44/6+1),0),0)+IFERROR(IF(AND(AG319&gt;0,(TODAY()-AG319)&lt;36*365.25/12),2400/((TODAY()-AG319)/30.44/6+1),0),0),0)</f>
        <v>0</v>
      </c>
      <c r="AB319" s="4" t="n">
        <f aca="false">COUNTA(AC319:AG319)</f>
        <v>0</v>
      </c>
      <c r="AY319" s="1" t="n">
        <v>319</v>
      </c>
    </row>
    <row r="320" customFormat="false" ht="15" hidden="false" customHeight="true" outlineLevel="0" collapsed="false">
      <c r="B320" s="1" t="n">
        <v>320</v>
      </c>
      <c r="L320" s="4" t="n">
        <f aca="true">YEAR(TODAY())-H320</f>
        <v>2026</v>
      </c>
      <c r="N320" s="4" t="n">
        <f aca="true">O320+IF(AT320=1,480,0)+AA320+IF(K320="M",IF(AH320&gt;0,IF((TODAY()-AH320)/30.44&lt;6,2400,IF((TODAY()-AH320)/30.44&lt;12,1200,0)),0),0)+IF(AP320&gt;0,AP320,0)-R320-T320-S320-U320</f>
        <v>450</v>
      </c>
      <c r="O320" s="4" t="n">
        <f aca="true">IF(X320=1,1200,IF(YEAR(TODAY())-H320&lt;18,0,IF(YEAR(TODAY())-H320&lt;65,300,450)))</f>
        <v>450</v>
      </c>
      <c r="R320" s="4" t="n">
        <f aca="false">IF(MIN(AM320+IF(ISNUMBER(AN320),AN320,0),16000)&gt;=600,(MIN(AM320+IF(ISNUMBER(AN320),AN320,0),16000)-600)^0.8/10000*MIN(AM320+IF(ISNUMBER(AN320),AN320,0),16000),0)</f>
        <v>0</v>
      </c>
      <c r="S320" s="4" t="n">
        <f aca="false">IF(AB320=0,0,IF(AB320=1,30,IF(AB320=2,60,IF(AB320=3,120,IF(AB320=4,180,240)))))</f>
        <v>0</v>
      </c>
      <c r="T320" s="4" t="n">
        <f aca="false">IF(Y320&gt;0,Y320*600/MAX(1,Z320),0)</f>
        <v>0</v>
      </c>
      <c r="U320" s="4" t="n">
        <f aca="false">IF(AW320&gt;0,AW320*1000000*MAX(0,MIN(22,1+LOG10(AW320)))/100/12,0)</f>
        <v>0</v>
      </c>
      <c r="AA320" s="4" t="n">
        <f aca="true">IF(K320="W",IFERROR(IF(AND(AC320&gt;0,(TODAY()-AC320)&lt;36*365.25/12),2400/((TODAY()-AC320)/30.44/6+1),0),0)+IFERROR(IF(AND(AD320&gt;0,(TODAY()-AD320)&lt;36*365.25/12),2400/((TODAY()-AD320)/30.44/6+1),0),0)+IFERROR(IF(AND(AE320&gt;0,(TODAY()-AE320)&lt;36*365.25/12),2400/((TODAY()-AE320)/30.44/6+1),0),0)+IFERROR(IF(AND(AF320&gt;0,(TODAY()-AF320)&lt;36*365.25/12),2400/((TODAY()-AF320)/30.44/6+1),0),0)+IFERROR(IF(AND(AG320&gt;0,(TODAY()-AG320)&lt;36*365.25/12),2400/((TODAY()-AG320)/30.44/6+1),0),0),0)</f>
        <v>0</v>
      </c>
      <c r="AB320" s="4" t="n">
        <f aca="false">COUNTA(AC320:AG320)</f>
        <v>0</v>
      </c>
      <c r="AY320" s="1" t="n">
        <v>320</v>
      </c>
    </row>
    <row r="321" customFormat="false" ht="15" hidden="false" customHeight="true" outlineLevel="0" collapsed="false">
      <c r="B321" s="1" t="n">
        <v>321</v>
      </c>
      <c r="L321" s="4" t="n">
        <f aca="true">YEAR(TODAY())-H321</f>
        <v>2026</v>
      </c>
      <c r="N321" s="4" t="n">
        <f aca="true">O321+IF(AT321=1,480,0)+AA321+IF(K321="M",IF(AH321&gt;0,IF((TODAY()-AH321)/30.44&lt;6,2400,IF((TODAY()-AH321)/30.44&lt;12,1200,0)),0),0)+IF(AP321&gt;0,AP321,0)-R321-T321-S321-U321</f>
        <v>450</v>
      </c>
      <c r="O321" s="4" t="n">
        <f aca="true">IF(X321=1,1200,IF(YEAR(TODAY())-H321&lt;18,0,IF(YEAR(TODAY())-H321&lt;65,300,450)))</f>
        <v>450</v>
      </c>
      <c r="R321" s="4" t="n">
        <f aca="false">IF(MIN(AM321+IF(ISNUMBER(AN321),AN321,0),16000)&gt;=600,(MIN(AM321+IF(ISNUMBER(AN321),AN321,0),16000)-600)^0.8/10000*MIN(AM321+IF(ISNUMBER(AN321),AN321,0),16000),0)</f>
        <v>0</v>
      </c>
      <c r="S321" s="4" t="n">
        <f aca="false">IF(AB321=0,0,IF(AB321=1,30,IF(AB321=2,60,IF(AB321=3,120,IF(AB321=4,180,240)))))</f>
        <v>0</v>
      </c>
      <c r="T321" s="4" t="n">
        <f aca="false">IF(Y321&gt;0,Y321*600/MAX(1,Z321),0)</f>
        <v>0</v>
      </c>
      <c r="U321" s="4" t="n">
        <f aca="false">IF(AW321&gt;0,AW321*1000000*MAX(0,MIN(22,1+LOG10(AW321)))/100/12,0)</f>
        <v>0</v>
      </c>
      <c r="AA321" s="4" t="n">
        <f aca="true">IF(K321="W",IFERROR(IF(AND(AC321&gt;0,(TODAY()-AC321)&lt;36*365.25/12),2400/((TODAY()-AC321)/30.44/6+1),0),0)+IFERROR(IF(AND(AD321&gt;0,(TODAY()-AD321)&lt;36*365.25/12),2400/((TODAY()-AD321)/30.44/6+1),0),0)+IFERROR(IF(AND(AE321&gt;0,(TODAY()-AE321)&lt;36*365.25/12),2400/((TODAY()-AE321)/30.44/6+1),0),0)+IFERROR(IF(AND(AF321&gt;0,(TODAY()-AF321)&lt;36*365.25/12),2400/((TODAY()-AF321)/30.44/6+1),0),0)+IFERROR(IF(AND(AG321&gt;0,(TODAY()-AG321)&lt;36*365.25/12),2400/((TODAY()-AG321)/30.44/6+1),0),0),0)</f>
        <v>0</v>
      </c>
      <c r="AB321" s="4" t="n">
        <f aca="false">COUNTA(AC321:AG321)</f>
        <v>0</v>
      </c>
      <c r="AY321" s="1" t="n">
        <v>321</v>
      </c>
    </row>
    <row r="322" customFormat="false" ht="15" hidden="false" customHeight="true" outlineLevel="0" collapsed="false">
      <c r="B322" s="1" t="n">
        <v>322</v>
      </c>
      <c r="L322" s="4" t="n">
        <f aca="true">YEAR(TODAY())-H322</f>
        <v>2026</v>
      </c>
      <c r="N322" s="4" t="n">
        <f aca="true">O322+IF(AT322=1,480,0)+AA322+IF(K322="M",IF(AH322&gt;0,IF((TODAY()-AH322)/30.44&lt;6,2400,IF((TODAY()-AH322)/30.44&lt;12,1200,0)),0),0)+IF(AP322&gt;0,AP322,0)-R322-T322-S322-U322</f>
        <v>450</v>
      </c>
      <c r="O322" s="4" t="n">
        <f aca="true">IF(X322=1,1200,IF(YEAR(TODAY())-H322&lt;18,0,IF(YEAR(TODAY())-H322&lt;65,300,450)))</f>
        <v>450</v>
      </c>
      <c r="R322" s="4" t="n">
        <f aca="false">IF(MIN(AM322+IF(ISNUMBER(AN322),AN322,0),16000)&gt;=600,(MIN(AM322+IF(ISNUMBER(AN322),AN322,0),16000)-600)^0.8/10000*MIN(AM322+IF(ISNUMBER(AN322),AN322,0),16000),0)</f>
        <v>0</v>
      </c>
      <c r="S322" s="4" t="n">
        <f aca="false">IF(AB322=0,0,IF(AB322=1,30,IF(AB322=2,60,IF(AB322=3,120,IF(AB322=4,180,240)))))</f>
        <v>0</v>
      </c>
      <c r="T322" s="4" t="n">
        <f aca="false">IF(Y322&gt;0,Y322*600/MAX(1,Z322),0)</f>
        <v>0</v>
      </c>
      <c r="U322" s="4" t="n">
        <f aca="false">IF(AW322&gt;0,AW322*1000000*MAX(0,MIN(22,1+LOG10(AW322)))/100/12,0)</f>
        <v>0</v>
      </c>
      <c r="AA322" s="4" t="n">
        <f aca="true">IF(K322="W",IFERROR(IF(AND(AC322&gt;0,(TODAY()-AC322)&lt;36*365.25/12),2400/((TODAY()-AC322)/30.44/6+1),0),0)+IFERROR(IF(AND(AD322&gt;0,(TODAY()-AD322)&lt;36*365.25/12),2400/((TODAY()-AD322)/30.44/6+1),0),0)+IFERROR(IF(AND(AE322&gt;0,(TODAY()-AE322)&lt;36*365.25/12),2400/((TODAY()-AE322)/30.44/6+1),0),0)+IFERROR(IF(AND(AF322&gt;0,(TODAY()-AF322)&lt;36*365.25/12),2400/((TODAY()-AF322)/30.44/6+1),0),0)+IFERROR(IF(AND(AG322&gt;0,(TODAY()-AG322)&lt;36*365.25/12),2400/((TODAY()-AG322)/30.44/6+1),0),0),0)</f>
        <v>0</v>
      </c>
      <c r="AB322" s="4" t="n">
        <f aca="false">COUNTA(AC322:AG322)</f>
        <v>0</v>
      </c>
      <c r="AY322" s="1" t="n">
        <v>322</v>
      </c>
    </row>
    <row r="323" customFormat="false" ht="15" hidden="false" customHeight="true" outlineLevel="0" collapsed="false">
      <c r="B323" s="1" t="n">
        <v>323</v>
      </c>
      <c r="L323" s="4" t="n">
        <f aca="true">YEAR(TODAY())-H323</f>
        <v>2026</v>
      </c>
      <c r="N323" s="4" t="n">
        <f aca="true">O323+IF(AT323=1,480,0)+AA323+IF(K323="M",IF(AH323&gt;0,IF((TODAY()-AH323)/30.44&lt;6,2400,IF((TODAY()-AH323)/30.44&lt;12,1200,0)),0),0)+IF(AP323&gt;0,AP323,0)-R323-T323-S323-U323</f>
        <v>450</v>
      </c>
      <c r="O323" s="4" t="n">
        <f aca="true">IF(X323=1,1200,IF(YEAR(TODAY())-H323&lt;18,0,IF(YEAR(TODAY())-H323&lt;65,300,450)))</f>
        <v>450</v>
      </c>
      <c r="R323" s="4" t="n">
        <f aca="false">IF(MIN(AM323+IF(ISNUMBER(AN323),AN323,0),16000)&gt;=600,(MIN(AM323+IF(ISNUMBER(AN323),AN323,0),16000)-600)^0.8/10000*MIN(AM323+IF(ISNUMBER(AN323),AN323,0),16000),0)</f>
        <v>0</v>
      </c>
      <c r="S323" s="4" t="n">
        <f aca="false">IF(AB323=0,0,IF(AB323=1,30,IF(AB323=2,60,IF(AB323=3,120,IF(AB323=4,180,240)))))</f>
        <v>0</v>
      </c>
      <c r="T323" s="4" t="n">
        <f aca="false">IF(Y323&gt;0,Y323*600/MAX(1,Z323),0)</f>
        <v>0</v>
      </c>
      <c r="U323" s="4" t="n">
        <f aca="false">IF(AW323&gt;0,AW323*1000000*MAX(0,MIN(22,1+LOG10(AW323)))/100/12,0)</f>
        <v>0</v>
      </c>
      <c r="AA323" s="4" t="n">
        <f aca="true">IF(K323="W",IFERROR(IF(AND(AC323&gt;0,(TODAY()-AC323)&lt;36*365.25/12),2400/((TODAY()-AC323)/30.44/6+1),0),0)+IFERROR(IF(AND(AD323&gt;0,(TODAY()-AD323)&lt;36*365.25/12),2400/((TODAY()-AD323)/30.44/6+1),0),0)+IFERROR(IF(AND(AE323&gt;0,(TODAY()-AE323)&lt;36*365.25/12),2400/((TODAY()-AE323)/30.44/6+1),0),0)+IFERROR(IF(AND(AF323&gt;0,(TODAY()-AF323)&lt;36*365.25/12),2400/((TODAY()-AF323)/30.44/6+1),0),0)+IFERROR(IF(AND(AG323&gt;0,(TODAY()-AG323)&lt;36*365.25/12),2400/((TODAY()-AG323)/30.44/6+1),0),0),0)</f>
        <v>0</v>
      </c>
      <c r="AB323" s="4" t="n">
        <f aca="false">COUNTA(AC323:AG323)</f>
        <v>0</v>
      </c>
      <c r="AY323" s="1" t="n">
        <v>323</v>
      </c>
    </row>
    <row r="324" customFormat="false" ht="15" hidden="false" customHeight="true" outlineLevel="0" collapsed="false">
      <c r="B324" s="1" t="n">
        <v>324</v>
      </c>
      <c r="L324" s="4" t="n">
        <f aca="true">YEAR(TODAY())-H324</f>
        <v>2026</v>
      </c>
      <c r="N324" s="4" t="n">
        <f aca="true">O324+IF(AT324=1,480,0)+AA324+IF(K324="M",IF(AH324&gt;0,IF((TODAY()-AH324)/30.44&lt;6,2400,IF((TODAY()-AH324)/30.44&lt;12,1200,0)),0),0)+IF(AP324&gt;0,AP324,0)-R324-T324-S324-U324</f>
        <v>450</v>
      </c>
      <c r="O324" s="4" t="n">
        <f aca="true">IF(X324=1,1200,IF(YEAR(TODAY())-H324&lt;18,0,IF(YEAR(TODAY())-H324&lt;65,300,450)))</f>
        <v>450</v>
      </c>
      <c r="R324" s="4" t="n">
        <f aca="false">IF(MIN(AM324+IF(ISNUMBER(AN324),AN324,0),16000)&gt;=600,(MIN(AM324+IF(ISNUMBER(AN324),AN324,0),16000)-600)^0.8/10000*MIN(AM324+IF(ISNUMBER(AN324),AN324,0),16000),0)</f>
        <v>0</v>
      </c>
      <c r="S324" s="4" t="n">
        <f aca="false">IF(AB324=0,0,IF(AB324=1,30,IF(AB324=2,60,IF(AB324=3,120,IF(AB324=4,180,240)))))</f>
        <v>0</v>
      </c>
      <c r="T324" s="4" t="n">
        <f aca="false">IF(Y324&gt;0,Y324*600/MAX(1,Z324),0)</f>
        <v>0</v>
      </c>
      <c r="U324" s="4" t="n">
        <f aca="false">IF(AW324&gt;0,AW324*1000000*MAX(0,MIN(22,1+LOG10(AW324)))/100/12,0)</f>
        <v>0</v>
      </c>
      <c r="AA324" s="4" t="n">
        <f aca="true">IF(K324="W",IFERROR(IF(AND(AC324&gt;0,(TODAY()-AC324)&lt;36*365.25/12),2400/((TODAY()-AC324)/30.44/6+1),0),0)+IFERROR(IF(AND(AD324&gt;0,(TODAY()-AD324)&lt;36*365.25/12),2400/((TODAY()-AD324)/30.44/6+1),0),0)+IFERROR(IF(AND(AE324&gt;0,(TODAY()-AE324)&lt;36*365.25/12),2400/((TODAY()-AE324)/30.44/6+1),0),0)+IFERROR(IF(AND(AF324&gt;0,(TODAY()-AF324)&lt;36*365.25/12),2400/((TODAY()-AF324)/30.44/6+1),0),0)+IFERROR(IF(AND(AG324&gt;0,(TODAY()-AG324)&lt;36*365.25/12),2400/((TODAY()-AG324)/30.44/6+1),0),0),0)</f>
        <v>0</v>
      </c>
      <c r="AB324" s="4" t="n">
        <f aca="false">COUNTA(AC324:AG324)</f>
        <v>0</v>
      </c>
      <c r="AY324" s="1" t="n">
        <v>324</v>
      </c>
    </row>
    <row r="325" customFormat="false" ht="15" hidden="false" customHeight="true" outlineLevel="0" collapsed="false">
      <c r="B325" s="1" t="n">
        <v>325</v>
      </c>
      <c r="L325" s="4" t="n">
        <f aca="true">YEAR(TODAY())-H325</f>
        <v>2026</v>
      </c>
      <c r="N325" s="4" t="n">
        <f aca="true">O325+IF(AT325=1,480,0)+AA325+IF(K325="M",IF(AH325&gt;0,IF((TODAY()-AH325)/30.44&lt;6,2400,IF((TODAY()-AH325)/30.44&lt;12,1200,0)),0),0)+IF(AP325&gt;0,AP325,0)-R325-T325-S325-U325</f>
        <v>450</v>
      </c>
      <c r="O325" s="4" t="n">
        <f aca="true">IF(X325=1,1200,IF(YEAR(TODAY())-H325&lt;18,0,IF(YEAR(TODAY())-H325&lt;65,300,450)))</f>
        <v>450</v>
      </c>
      <c r="R325" s="4" t="n">
        <f aca="false">IF(MIN(AM325+IF(ISNUMBER(AN325),AN325,0),16000)&gt;=600,(MIN(AM325+IF(ISNUMBER(AN325),AN325,0),16000)-600)^0.8/10000*MIN(AM325+IF(ISNUMBER(AN325),AN325,0),16000),0)</f>
        <v>0</v>
      </c>
      <c r="S325" s="4" t="n">
        <f aca="false">IF(AB325=0,0,IF(AB325=1,30,IF(AB325=2,60,IF(AB325=3,120,IF(AB325=4,180,240)))))</f>
        <v>0</v>
      </c>
      <c r="T325" s="4" t="n">
        <f aca="false">IF(Y325&gt;0,Y325*600/MAX(1,Z325),0)</f>
        <v>0</v>
      </c>
      <c r="U325" s="4" t="n">
        <f aca="false">IF(AW325&gt;0,AW325*1000000*MAX(0,MIN(22,1+LOG10(AW325)))/100/12,0)</f>
        <v>0</v>
      </c>
      <c r="AA325" s="4" t="n">
        <f aca="true">IF(K325="W",IFERROR(IF(AND(AC325&gt;0,(TODAY()-AC325)&lt;36*365.25/12),2400/((TODAY()-AC325)/30.44/6+1),0),0)+IFERROR(IF(AND(AD325&gt;0,(TODAY()-AD325)&lt;36*365.25/12),2400/((TODAY()-AD325)/30.44/6+1),0),0)+IFERROR(IF(AND(AE325&gt;0,(TODAY()-AE325)&lt;36*365.25/12),2400/((TODAY()-AE325)/30.44/6+1),0),0)+IFERROR(IF(AND(AF325&gt;0,(TODAY()-AF325)&lt;36*365.25/12),2400/((TODAY()-AF325)/30.44/6+1),0),0)+IFERROR(IF(AND(AG325&gt;0,(TODAY()-AG325)&lt;36*365.25/12),2400/((TODAY()-AG325)/30.44/6+1),0),0),0)</f>
        <v>0</v>
      </c>
      <c r="AB325" s="4" t="n">
        <f aca="false">COUNTA(AC325:AG325)</f>
        <v>0</v>
      </c>
      <c r="AY325" s="1" t="n">
        <v>325</v>
      </c>
    </row>
    <row r="326" customFormat="false" ht="15" hidden="false" customHeight="true" outlineLevel="0" collapsed="false">
      <c r="B326" s="1" t="n">
        <v>326</v>
      </c>
      <c r="L326" s="4" t="n">
        <f aca="true">YEAR(TODAY())-H326</f>
        <v>2026</v>
      </c>
      <c r="N326" s="4" t="n">
        <f aca="true">O326+IF(AT326=1,480,0)+AA326+IF(K326="M",IF(AH326&gt;0,IF((TODAY()-AH326)/30.44&lt;6,2400,IF((TODAY()-AH326)/30.44&lt;12,1200,0)),0),0)+IF(AP326&gt;0,AP326,0)-R326-T326-S326-U326</f>
        <v>450</v>
      </c>
      <c r="O326" s="4" t="n">
        <f aca="true">IF(X326=1,1200,IF(YEAR(TODAY())-H326&lt;18,0,IF(YEAR(TODAY())-H326&lt;65,300,450)))</f>
        <v>450</v>
      </c>
      <c r="R326" s="4" t="n">
        <f aca="false">IF(MIN(AM326+IF(ISNUMBER(AN326),AN326,0),16000)&gt;=600,(MIN(AM326+IF(ISNUMBER(AN326),AN326,0),16000)-600)^0.8/10000*MIN(AM326+IF(ISNUMBER(AN326),AN326,0),16000),0)</f>
        <v>0</v>
      </c>
      <c r="S326" s="4" t="n">
        <f aca="false">IF(AB326=0,0,IF(AB326=1,30,IF(AB326=2,60,IF(AB326=3,120,IF(AB326=4,180,240)))))</f>
        <v>0</v>
      </c>
      <c r="T326" s="4" t="n">
        <f aca="false">IF(Y326&gt;0,Y326*600/MAX(1,Z326),0)</f>
        <v>0</v>
      </c>
      <c r="U326" s="4" t="n">
        <f aca="false">IF(AW326&gt;0,AW326*1000000*MAX(0,MIN(22,1+LOG10(AW326)))/100/12,0)</f>
        <v>0</v>
      </c>
      <c r="AA326" s="4" t="n">
        <f aca="true">IF(K326="W",IFERROR(IF(AND(AC326&gt;0,(TODAY()-AC326)&lt;36*365.25/12),2400/((TODAY()-AC326)/30.44/6+1),0),0)+IFERROR(IF(AND(AD326&gt;0,(TODAY()-AD326)&lt;36*365.25/12),2400/((TODAY()-AD326)/30.44/6+1),0),0)+IFERROR(IF(AND(AE326&gt;0,(TODAY()-AE326)&lt;36*365.25/12),2400/((TODAY()-AE326)/30.44/6+1),0),0)+IFERROR(IF(AND(AF326&gt;0,(TODAY()-AF326)&lt;36*365.25/12),2400/((TODAY()-AF326)/30.44/6+1),0),0)+IFERROR(IF(AND(AG326&gt;0,(TODAY()-AG326)&lt;36*365.25/12),2400/((TODAY()-AG326)/30.44/6+1),0),0),0)</f>
        <v>0</v>
      </c>
      <c r="AB326" s="4" t="n">
        <f aca="false">COUNTA(AC326:AG326)</f>
        <v>0</v>
      </c>
      <c r="AY326" s="1" t="n">
        <v>326</v>
      </c>
    </row>
    <row r="327" customFormat="false" ht="15" hidden="false" customHeight="true" outlineLevel="0" collapsed="false">
      <c r="B327" s="1" t="n">
        <v>327</v>
      </c>
      <c r="L327" s="4" t="n">
        <f aca="true">YEAR(TODAY())-H327</f>
        <v>2026</v>
      </c>
      <c r="N327" s="4" t="n">
        <f aca="true">O327+IF(AT327=1,480,0)+AA327+IF(K327="M",IF(AH327&gt;0,IF((TODAY()-AH327)/30.44&lt;6,2400,IF((TODAY()-AH327)/30.44&lt;12,1200,0)),0),0)+IF(AP327&gt;0,AP327,0)-R327-T327-S327-U327</f>
        <v>450</v>
      </c>
      <c r="O327" s="4" t="n">
        <f aca="true">IF(X327=1,1200,IF(YEAR(TODAY())-H327&lt;18,0,IF(YEAR(TODAY())-H327&lt;65,300,450)))</f>
        <v>450</v>
      </c>
      <c r="R327" s="4" t="n">
        <f aca="false">IF(MIN(AM327+IF(ISNUMBER(AN327),AN327,0),16000)&gt;=600,(MIN(AM327+IF(ISNUMBER(AN327),AN327,0),16000)-600)^0.8/10000*MIN(AM327+IF(ISNUMBER(AN327),AN327,0),16000),0)</f>
        <v>0</v>
      </c>
      <c r="S327" s="4" t="n">
        <f aca="false">IF(AB327=0,0,IF(AB327=1,30,IF(AB327=2,60,IF(AB327=3,120,IF(AB327=4,180,240)))))</f>
        <v>0</v>
      </c>
      <c r="T327" s="4" t="n">
        <f aca="false">IF(Y327&gt;0,Y327*600/MAX(1,Z327),0)</f>
        <v>0</v>
      </c>
      <c r="U327" s="4" t="n">
        <f aca="false">IF(AW327&gt;0,AW327*1000000*MAX(0,MIN(22,1+LOG10(AW327)))/100/12,0)</f>
        <v>0</v>
      </c>
      <c r="AA327" s="4" t="n">
        <f aca="true">IF(K327="W",IFERROR(IF(AND(AC327&gt;0,(TODAY()-AC327)&lt;36*365.25/12),2400/((TODAY()-AC327)/30.44/6+1),0),0)+IFERROR(IF(AND(AD327&gt;0,(TODAY()-AD327)&lt;36*365.25/12),2400/((TODAY()-AD327)/30.44/6+1),0),0)+IFERROR(IF(AND(AE327&gt;0,(TODAY()-AE327)&lt;36*365.25/12),2400/((TODAY()-AE327)/30.44/6+1),0),0)+IFERROR(IF(AND(AF327&gt;0,(TODAY()-AF327)&lt;36*365.25/12),2400/((TODAY()-AF327)/30.44/6+1),0),0)+IFERROR(IF(AND(AG327&gt;0,(TODAY()-AG327)&lt;36*365.25/12),2400/((TODAY()-AG327)/30.44/6+1),0),0),0)</f>
        <v>0</v>
      </c>
      <c r="AB327" s="4" t="n">
        <f aca="false">COUNTA(AC327:AG327)</f>
        <v>0</v>
      </c>
      <c r="AY327" s="1" t="n">
        <v>327</v>
      </c>
    </row>
    <row r="328" customFormat="false" ht="15" hidden="false" customHeight="true" outlineLevel="0" collapsed="false">
      <c r="B328" s="1" t="n">
        <v>328</v>
      </c>
      <c r="L328" s="4" t="n">
        <f aca="true">YEAR(TODAY())-H328</f>
        <v>2026</v>
      </c>
      <c r="N328" s="4" t="n">
        <f aca="true">O328+IF(AT328=1,480,0)+AA328+IF(K328="M",IF(AH328&gt;0,IF((TODAY()-AH328)/30.44&lt;6,2400,IF((TODAY()-AH328)/30.44&lt;12,1200,0)),0),0)+IF(AP328&gt;0,AP328,0)-R328-T328-S328-U328</f>
        <v>450</v>
      </c>
      <c r="O328" s="4" t="n">
        <f aca="true">IF(X328=1,1200,IF(YEAR(TODAY())-H328&lt;18,0,IF(YEAR(TODAY())-H328&lt;65,300,450)))</f>
        <v>450</v>
      </c>
      <c r="R328" s="4" t="n">
        <f aca="false">IF(MIN(AM328+IF(ISNUMBER(AN328),AN328,0),16000)&gt;=600,(MIN(AM328+IF(ISNUMBER(AN328),AN328,0),16000)-600)^0.8/10000*MIN(AM328+IF(ISNUMBER(AN328),AN328,0),16000),0)</f>
        <v>0</v>
      </c>
      <c r="S328" s="4" t="n">
        <f aca="false">IF(AB328=0,0,IF(AB328=1,30,IF(AB328=2,60,IF(AB328=3,120,IF(AB328=4,180,240)))))</f>
        <v>0</v>
      </c>
      <c r="T328" s="4" t="n">
        <f aca="false">IF(Y328&gt;0,Y328*600/MAX(1,Z328),0)</f>
        <v>0</v>
      </c>
      <c r="U328" s="4" t="n">
        <f aca="false">IF(AW328&gt;0,AW328*1000000*MAX(0,MIN(22,1+LOG10(AW328)))/100/12,0)</f>
        <v>0</v>
      </c>
      <c r="AA328" s="4" t="n">
        <f aca="true">IF(K328="W",IFERROR(IF(AND(AC328&gt;0,(TODAY()-AC328)&lt;36*365.25/12),2400/((TODAY()-AC328)/30.44/6+1),0),0)+IFERROR(IF(AND(AD328&gt;0,(TODAY()-AD328)&lt;36*365.25/12),2400/((TODAY()-AD328)/30.44/6+1),0),0)+IFERROR(IF(AND(AE328&gt;0,(TODAY()-AE328)&lt;36*365.25/12),2400/((TODAY()-AE328)/30.44/6+1),0),0)+IFERROR(IF(AND(AF328&gt;0,(TODAY()-AF328)&lt;36*365.25/12),2400/((TODAY()-AF328)/30.44/6+1),0),0)+IFERROR(IF(AND(AG328&gt;0,(TODAY()-AG328)&lt;36*365.25/12),2400/((TODAY()-AG328)/30.44/6+1),0),0),0)</f>
        <v>0</v>
      </c>
      <c r="AB328" s="4" t="n">
        <f aca="false">COUNTA(AC328:AG328)</f>
        <v>0</v>
      </c>
      <c r="AY328" s="1" t="n">
        <v>328</v>
      </c>
    </row>
    <row r="329" customFormat="false" ht="15" hidden="false" customHeight="true" outlineLevel="0" collapsed="false">
      <c r="B329" s="1" t="n">
        <v>329</v>
      </c>
      <c r="L329" s="4" t="n">
        <f aca="true">YEAR(TODAY())-H329</f>
        <v>2026</v>
      </c>
      <c r="N329" s="4" t="n">
        <f aca="true">O329+IF(AT329=1,480,0)+AA329+IF(K329="M",IF(AH329&gt;0,IF((TODAY()-AH329)/30.44&lt;6,2400,IF((TODAY()-AH329)/30.44&lt;12,1200,0)),0),0)+IF(AP329&gt;0,AP329,0)-R329-T329-S329-U329</f>
        <v>450</v>
      </c>
      <c r="O329" s="4" t="n">
        <f aca="true">IF(X329=1,1200,IF(YEAR(TODAY())-H329&lt;18,0,IF(YEAR(TODAY())-H329&lt;65,300,450)))</f>
        <v>450</v>
      </c>
      <c r="R329" s="4" t="n">
        <f aca="false">IF(MIN(AM329+IF(ISNUMBER(AN329),AN329,0),16000)&gt;=600,(MIN(AM329+IF(ISNUMBER(AN329),AN329,0),16000)-600)^0.8/10000*MIN(AM329+IF(ISNUMBER(AN329),AN329,0),16000),0)</f>
        <v>0</v>
      </c>
      <c r="S329" s="4" t="n">
        <f aca="false">IF(AB329=0,0,IF(AB329=1,30,IF(AB329=2,60,IF(AB329=3,120,IF(AB329=4,180,240)))))</f>
        <v>0</v>
      </c>
      <c r="T329" s="4" t="n">
        <f aca="false">IF(Y329&gt;0,Y329*600/MAX(1,Z329),0)</f>
        <v>0</v>
      </c>
      <c r="U329" s="4" t="n">
        <f aca="false">IF(AW329&gt;0,AW329*1000000*MAX(0,MIN(22,1+LOG10(AW329)))/100/12,0)</f>
        <v>0</v>
      </c>
      <c r="AA329" s="4" t="n">
        <f aca="true">IF(K329="W",IFERROR(IF(AND(AC329&gt;0,(TODAY()-AC329)&lt;36*365.25/12),2400/((TODAY()-AC329)/30.44/6+1),0),0)+IFERROR(IF(AND(AD329&gt;0,(TODAY()-AD329)&lt;36*365.25/12),2400/((TODAY()-AD329)/30.44/6+1),0),0)+IFERROR(IF(AND(AE329&gt;0,(TODAY()-AE329)&lt;36*365.25/12),2400/((TODAY()-AE329)/30.44/6+1),0),0)+IFERROR(IF(AND(AF329&gt;0,(TODAY()-AF329)&lt;36*365.25/12),2400/((TODAY()-AF329)/30.44/6+1),0),0)+IFERROR(IF(AND(AG329&gt;0,(TODAY()-AG329)&lt;36*365.25/12),2400/((TODAY()-AG329)/30.44/6+1),0),0),0)</f>
        <v>0</v>
      </c>
      <c r="AB329" s="4" t="n">
        <f aca="false">COUNTA(AC329:AG329)</f>
        <v>0</v>
      </c>
      <c r="AY329" s="1" t="n">
        <v>329</v>
      </c>
    </row>
    <row r="330" customFormat="false" ht="15" hidden="false" customHeight="true" outlineLevel="0" collapsed="false">
      <c r="B330" s="1" t="n">
        <v>330</v>
      </c>
      <c r="L330" s="4" t="n">
        <f aca="true">YEAR(TODAY())-H330</f>
        <v>2026</v>
      </c>
      <c r="N330" s="4" t="n">
        <f aca="true">O330+IF(AT330=1,480,0)+AA330+IF(K330="M",IF(AH330&gt;0,IF((TODAY()-AH330)/30.44&lt;6,2400,IF((TODAY()-AH330)/30.44&lt;12,1200,0)),0),0)+IF(AP330&gt;0,AP330,0)-R330-T330-S330-U330</f>
        <v>450</v>
      </c>
      <c r="O330" s="4" t="n">
        <f aca="true">IF(X330=1,1200,IF(YEAR(TODAY())-H330&lt;18,0,IF(YEAR(TODAY())-H330&lt;65,300,450)))</f>
        <v>450</v>
      </c>
      <c r="R330" s="4" t="n">
        <f aca="false">IF(MIN(AM330+IF(ISNUMBER(AN330),AN330,0),16000)&gt;=600,(MIN(AM330+IF(ISNUMBER(AN330),AN330,0),16000)-600)^0.8/10000*MIN(AM330+IF(ISNUMBER(AN330),AN330,0),16000),0)</f>
        <v>0</v>
      </c>
      <c r="S330" s="4" t="n">
        <f aca="false">IF(AB330=0,0,IF(AB330=1,30,IF(AB330=2,60,IF(AB330=3,120,IF(AB330=4,180,240)))))</f>
        <v>0</v>
      </c>
      <c r="T330" s="4" t="n">
        <f aca="false">IF(Y330&gt;0,Y330*600/MAX(1,Z330),0)</f>
        <v>0</v>
      </c>
      <c r="U330" s="4" t="n">
        <f aca="false">IF(AW330&gt;0,AW330*1000000*MAX(0,MIN(22,1+LOG10(AW330)))/100/12,0)</f>
        <v>0</v>
      </c>
      <c r="AA330" s="4" t="n">
        <f aca="true">IF(K330="W",IFERROR(IF(AND(AC330&gt;0,(TODAY()-AC330)&lt;36*365.25/12),2400/((TODAY()-AC330)/30.44/6+1),0),0)+IFERROR(IF(AND(AD330&gt;0,(TODAY()-AD330)&lt;36*365.25/12),2400/((TODAY()-AD330)/30.44/6+1),0),0)+IFERROR(IF(AND(AE330&gt;0,(TODAY()-AE330)&lt;36*365.25/12),2400/((TODAY()-AE330)/30.44/6+1),0),0)+IFERROR(IF(AND(AF330&gt;0,(TODAY()-AF330)&lt;36*365.25/12),2400/((TODAY()-AF330)/30.44/6+1),0),0)+IFERROR(IF(AND(AG330&gt;0,(TODAY()-AG330)&lt;36*365.25/12),2400/((TODAY()-AG330)/30.44/6+1),0),0),0)</f>
        <v>0</v>
      </c>
      <c r="AB330" s="4" t="n">
        <f aca="false">COUNTA(AC330:AG330)</f>
        <v>0</v>
      </c>
      <c r="AY330" s="1" t="n">
        <v>330</v>
      </c>
    </row>
    <row r="331" customFormat="false" ht="15" hidden="false" customHeight="true" outlineLevel="0" collapsed="false">
      <c r="B331" s="1" t="n">
        <v>331</v>
      </c>
      <c r="L331" s="4" t="n">
        <f aca="true">YEAR(TODAY())-H331</f>
        <v>2026</v>
      </c>
      <c r="N331" s="4" t="n">
        <f aca="true">O331+IF(AT331=1,480,0)+AA331+IF(K331="M",IF(AH331&gt;0,IF((TODAY()-AH331)/30.44&lt;6,2400,IF((TODAY()-AH331)/30.44&lt;12,1200,0)),0),0)+IF(AP331&gt;0,AP331,0)-R331-T331-S331-U331</f>
        <v>450</v>
      </c>
      <c r="O331" s="4" t="n">
        <f aca="true">IF(X331=1,1200,IF(YEAR(TODAY())-H331&lt;18,0,IF(YEAR(TODAY())-H331&lt;65,300,450)))</f>
        <v>450</v>
      </c>
      <c r="R331" s="4" t="n">
        <f aca="false">IF(MIN(AM331+IF(ISNUMBER(AN331),AN331,0),16000)&gt;=600,(MIN(AM331+IF(ISNUMBER(AN331),AN331,0),16000)-600)^0.8/10000*MIN(AM331+IF(ISNUMBER(AN331),AN331,0),16000),0)</f>
        <v>0</v>
      </c>
      <c r="S331" s="4" t="n">
        <f aca="false">IF(AB331=0,0,IF(AB331=1,30,IF(AB331=2,60,IF(AB331=3,120,IF(AB331=4,180,240)))))</f>
        <v>0</v>
      </c>
      <c r="T331" s="4" t="n">
        <f aca="false">IF(Y331&gt;0,Y331*600/MAX(1,Z331),0)</f>
        <v>0</v>
      </c>
      <c r="U331" s="4" t="n">
        <f aca="false">IF(AW331&gt;0,AW331*1000000*MAX(0,MIN(22,1+LOG10(AW331)))/100/12,0)</f>
        <v>0</v>
      </c>
      <c r="AA331" s="4" t="n">
        <f aca="true">IF(K331="W",IFERROR(IF(AND(AC331&gt;0,(TODAY()-AC331)&lt;36*365.25/12),2400/((TODAY()-AC331)/30.44/6+1),0),0)+IFERROR(IF(AND(AD331&gt;0,(TODAY()-AD331)&lt;36*365.25/12),2400/((TODAY()-AD331)/30.44/6+1),0),0)+IFERROR(IF(AND(AE331&gt;0,(TODAY()-AE331)&lt;36*365.25/12),2400/((TODAY()-AE331)/30.44/6+1),0),0)+IFERROR(IF(AND(AF331&gt;0,(TODAY()-AF331)&lt;36*365.25/12),2400/((TODAY()-AF331)/30.44/6+1),0),0)+IFERROR(IF(AND(AG331&gt;0,(TODAY()-AG331)&lt;36*365.25/12),2400/((TODAY()-AG331)/30.44/6+1),0),0),0)</f>
        <v>0</v>
      </c>
      <c r="AB331" s="4" t="n">
        <f aca="false">COUNTA(AC331:AG331)</f>
        <v>0</v>
      </c>
      <c r="AY331" s="1" t="n">
        <v>331</v>
      </c>
    </row>
    <row r="332" customFormat="false" ht="15" hidden="false" customHeight="true" outlineLevel="0" collapsed="false">
      <c r="B332" s="1" t="n">
        <v>332</v>
      </c>
      <c r="L332" s="4" t="n">
        <f aca="true">YEAR(TODAY())-H332</f>
        <v>2026</v>
      </c>
      <c r="N332" s="4" t="n">
        <f aca="true">O332+IF(AT332=1,480,0)+AA332+IF(K332="M",IF(AH332&gt;0,IF((TODAY()-AH332)/30.44&lt;6,2400,IF((TODAY()-AH332)/30.44&lt;12,1200,0)),0),0)+IF(AP332&gt;0,AP332,0)-R332-T332-S332-U332</f>
        <v>450</v>
      </c>
      <c r="O332" s="4" t="n">
        <f aca="true">IF(X332=1,1200,IF(YEAR(TODAY())-H332&lt;18,0,IF(YEAR(TODAY())-H332&lt;65,300,450)))</f>
        <v>450</v>
      </c>
      <c r="R332" s="4" t="n">
        <f aca="false">IF(MIN(AM332+IF(ISNUMBER(AN332),AN332,0),16000)&gt;=600,(MIN(AM332+IF(ISNUMBER(AN332),AN332,0),16000)-600)^0.8/10000*MIN(AM332+IF(ISNUMBER(AN332),AN332,0),16000),0)</f>
        <v>0</v>
      </c>
      <c r="S332" s="4" t="n">
        <f aca="false">IF(AB332=0,0,IF(AB332=1,30,IF(AB332=2,60,IF(AB332=3,120,IF(AB332=4,180,240)))))</f>
        <v>0</v>
      </c>
      <c r="T332" s="4" t="n">
        <f aca="false">IF(Y332&gt;0,Y332*600/MAX(1,Z332),0)</f>
        <v>0</v>
      </c>
      <c r="U332" s="4" t="n">
        <f aca="false">IF(AW332&gt;0,AW332*1000000*MAX(0,MIN(22,1+LOG10(AW332)))/100/12,0)</f>
        <v>0</v>
      </c>
      <c r="AA332" s="4" t="n">
        <f aca="true">IF(K332="W",IFERROR(IF(AND(AC332&gt;0,(TODAY()-AC332)&lt;36*365.25/12),2400/((TODAY()-AC332)/30.44/6+1),0),0)+IFERROR(IF(AND(AD332&gt;0,(TODAY()-AD332)&lt;36*365.25/12),2400/((TODAY()-AD332)/30.44/6+1),0),0)+IFERROR(IF(AND(AE332&gt;0,(TODAY()-AE332)&lt;36*365.25/12),2400/((TODAY()-AE332)/30.44/6+1),0),0)+IFERROR(IF(AND(AF332&gt;0,(TODAY()-AF332)&lt;36*365.25/12),2400/((TODAY()-AF332)/30.44/6+1),0),0)+IFERROR(IF(AND(AG332&gt;0,(TODAY()-AG332)&lt;36*365.25/12),2400/((TODAY()-AG332)/30.44/6+1),0),0),0)</f>
        <v>0</v>
      </c>
      <c r="AB332" s="4" t="n">
        <f aca="false">COUNTA(AC332:AG332)</f>
        <v>0</v>
      </c>
      <c r="AY332" s="1" t="n">
        <v>332</v>
      </c>
    </row>
    <row r="333" customFormat="false" ht="15" hidden="false" customHeight="true" outlineLevel="0" collapsed="false">
      <c r="B333" s="1" t="n">
        <v>333</v>
      </c>
      <c r="L333" s="4" t="n">
        <f aca="true">YEAR(TODAY())-H333</f>
        <v>2026</v>
      </c>
      <c r="N333" s="4" t="n">
        <f aca="true">O333+IF(AT333=1,480,0)+AA333+IF(K333="M",IF(AH333&gt;0,IF((TODAY()-AH333)/30.44&lt;6,2400,IF((TODAY()-AH333)/30.44&lt;12,1200,0)),0),0)+IF(AP333&gt;0,AP333,0)-R333-T333-S333-U333</f>
        <v>450</v>
      </c>
      <c r="O333" s="4" t="n">
        <f aca="true">IF(X333=1,1200,IF(YEAR(TODAY())-H333&lt;18,0,IF(YEAR(TODAY())-H333&lt;65,300,450)))</f>
        <v>450</v>
      </c>
      <c r="R333" s="4" t="n">
        <f aca="false">IF(MIN(AM333+IF(ISNUMBER(AN333),AN333,0),16000)&gt;=600,(MIN(AM333+IF(ISNUMBER(AN333),AN333,0),16000)-600)^0.8/10000*MIN(AM333+IF(ISNUMBER(AN333),AN333,0),16000),0)</f>
        <v>0</v>
      </c>
      <c r="S333" s="4" t="n">
        <f aca="false">IF(AB333=0,0,IF(AB333=1,30,IF(AB333=2,60,IF(AB333=3,120,IF(AB333=4,180,240)))))</f>
        <v>0</v>
      </c>
      <c r="T333" s="4" t="n">
        <f aca="false">IF(Y333&gt;0,Y333*600/MAX(1,Z333),0)</f>
        <v>0</v>
      </c>
      <c r="U333" s="4" t="n">
        <f aca="false">IF(AW333&gt;0,AW333*1000000*MAX(0,MIN(22,1+LOG10(AW333)))/100/12,0)</f>
        <v>0</v>
      </c>
      <c r="AA333" s="4" t="n">
        <f aca="true">IF(K333="W",IFERROR(IF(AND(AC333&gt;0,(TODAY()-AC333)&lt;36*365.25/12),2400/((TODAY()-AC333)/30.44/6+1),0),0)+IFERROR(IF(AND(AD333&gt;0,(TODAY()-AD333)&lt;36*365.25/12),2400/((TODAY()-AD333)/30.44/6+1),0),0)+IFERROR(IF(AND(AE333&gt;0,(TODAY()-AE333)&lt;36*365.25/12),2400/((TODAY()-AE333)/30.44/6+1),0),0)+IFERROR(IF(AND(AF333&gt;0,(TODAY()-AF333)&lt;36*365.25/12),2400/((TODAY()-AF333)/30.44/6+1),0),0)+IFERROR(IF(AND(AG333&gt;0,(TODAY()-AG333)&lt;36*365.25/12),2400/((TODAY()-AG333)/30.44/6+1),0),0),0)</f>
        <v>0</v>
      </c>
      <c r="AB333" s="4" t="n">
        <f aca="false">COUNTA(AC333:AG333)</f>
        <v>0</v>
      </c>
      <c r="AY333" s="1" t="n">
        <v>333</v>
      </c>
    </row>
    <row r="334" customFormat="false" ht="15" hidden="false" customHeight="true" outlineLevel="0" collapsed="false">
      <c r="B334" s="1" t="n">
        <v>334</v>
      </c>
      <c r="L334" s="4" t="n">
        <f aca="true">YEAR(TODAY())-H334</f>
        <v>2026</v>
      </c>
      <c r="N334" s="4" t="n">
        <f aca="true">O334+IF(AT334=1,480,0)+AA334+IF(K334="M",IF(AH334&gt;0,IF((TODAY()-AH334)/30.44&lt;6,2400,IF((TODAY()-AH334)/30.44&lt;12,1200,0)),0),0)+IF(AP334&gt;0,AP334,0)-R334-T334-S334-U334</f>
        <v>450</v>
      </c>
      <c r="O334" s="4" t="n">
        <f aca="true">IF(X334=1,1200,IF(YEAR(TODAY())-H334&lt;18,0,IF(YEAR(TODAY())-H334&lt;65,300,450)))</f>
        <v>450</v>
      </c>
      <c r="R334" s="4" t="n">
        <f aca="false">IF(MIN(AM334+IF(ISNUMBER(AN334),AN334,0),16000)&gt;=600,(MIN(AM334+IF(ISNUMBER(AN334),AN334,0),16000)-600)^0.8/10000*MIN(AM334+IF(ISNUMBER(AN334),AN334,0),16000),0)</f>
        <v>0</v>
      </c>
      <c r="S334" s="4" t="n">
        <f aca="false">IF(AB334=0,0,IF(AB334=1,30,IF(AB334=2,60,IF(AB334=3,120,IF(AB334=4,180,240)))))</f>
        <v>0</v>
      </c>
      <c r="T334" s="4" t="n">
        <f aca="false">IF(Y334&gt;0,Y334*600/MAX(1,Z334),0)</f>
        <v>0</v>
      </c>
      <c r="U334" s="4" t="n">
        <f aca="false">IF(AW334&gt;0,AW334*1000000*MAX(0,MIN(22,1+LOG10(AW334)))/100/12,0)</f>
        <v>0</v>
      </c>
      <c r="AA334" s="4" t="n">
        <f aca="true">IF(K334="W",IFERROR(IF(AND(AC334&gt;0,(TODAY()-AC334)&lt;36*365.25/12),2400/((TODAY()-AC334)/30.44/6+1),0),0)+IFERROR(IF(AND(AD334&gt;0,(TODAY()-AD334)&lt;36*365.25/12),2400/((TODAY()-AD334)/30.44/6+1),0),0)+IFERROR(IF(AND(AE334&gt;0,(TODAY()-AE334)&lt;36*365.25/12),2400/((TODAY()-AE334)/30.44/6+1),0),0)+IFERROR(IF(AND(AF334&gt;0,(TODAY()-AF334)&lt;36*365.25/12),2400/((TODAY()-AF334)/30.44/6+1),0),0)+IFERROR(IF(AND(AG334&gt;0,(TODAY()-AG334)&lt;36*365.25/12),2400/((TODAY()-AG334)/30.44/6+1),0),0),0)</f>
        <v>0</v>
      </c>
      <c r="AB334" s="4" t="n">
        <f aca="false">COUNTA(AC334:AG334)</f>
        <v>0</v>
      </c>
      <c r="AY334" s="1" t="n">
        <v>334</v>
      </c>
    </row>
    <row r="335" customFormat="false" ht="15" hidden="false" customHeight="true" outlineLevel="0" collapsed="false">
      <c r="B335" s="1" t="n">
        <v>335</v>
      </c>
      <c r="L335" s="4" t="n">
        <f aca="true">YEAR(TODAY())-H335</f>
        <v>2026</v>
      </c>
      <c r="N335" s="4" t="n">
        <f aca="true">O335+IF(AT335=1,480,0)+AA335+IF(K335="M",IF(AH335&gt;0,IF((TODAY()-AH335)/30.44&lt;6,2400,IF((TODAY()-AH335)/30.44&lt;12,1200,0)),0),0)+IF(AP335&gt;0,AP335,0)-R335-T335-S335-U335</f>
        <v>450</v>
      </c>
      <c r="O335" s="4" t="n">
        <f aca="true">IF(X335=1,1200,IF(YEAR(TODAY())-H335&lt;18,0,IF(YEAR(TODAY())-H335&lt;65,300,450)))</f>
        <v>450</v>
      </c>
      <c r="R335" s="4" t="n">
        <f aca="false">IF(MIN(AM335+IF(ISNUMBER(AN335),AN335,0),16000)&gt;=600,(MIN(AM335+IF(ISNUMBER(AN335),AN335,0),16000)-600)^0.8/10000*MIN(AM335+IF(ISNUMBER(AN335),AN335,0),16000),0)</f>
        <v>0</v>
      </c>
      <c r="S335" s="4" t="n">
        <f aca="false">IF(AB335=0,0,IF(AB335=1,30,IF(AB335=2,60,IF(AB335=3,120,IF(AB335=4,180,240)))))</f>
        <v>0</v>
      </c>
      <c r="T335" s="4" t="n">
        <f aca="false">IF(Y335&gt;0,Y335*600/MAX(1,Z335),0)</f>
        <v>0</v>
      </c>
      <c r="U335" s="4" t="n">
        <f aca="false">IF(AW335&gt;0,AW335*1000000*MAX(0,MIN(22,1+LOG10(AW335)))/100/12,0)</f>
        <v>0</v>
      </c>
      <c r="AA335" s="4" t="n">
        <f aca="true">IF(K335="W",IFERROR(IF(AND(AC335&gt;0,(TODAY()-AC335)&lt;36*365.25/12),2400/((TODAY()-AC335)/30.44/6+1),0),0)+IFERROR(IF(AND(AD335&gt;0,(TODAY()-AD335)&lt;36*365.25/12),2400/((TODAY()-AD335)/30.44/6+1),0),0)+IFERROR(IF(AND(AE335&gt;0,(TODAY()-AE335)&lt;36*365.25/12),2400/((TODAY()-AE335)/30.44/6+1),0),0)+IFERROR(IF(AND(AF335&gt;0,(TODAY()-AF335)&lt;36*365.25/12),2400/((TODAY()-AF335)/30.44/6+1),0),0)+IFERROR(IF(AND(AG335&gt;0,(TODAY()-AG335)&lt;36*365.25/12),2400/((TODAY()-AG335)/30.44/6+1),0),0),0)</f>
        <v>0</v>
      </c>
      <c r="AB335" s="4" t="n">
        <f aca="false">COUNTA(AC335:AG335)</f>
        <v>0</v>
      </c>
      <c r="AY335" s="1" t="n">
        <v>335</v>
      </c>
    </row>
    <row r="336" customFormat="false" ht="15" hidden="false" customHeight="true" outlineLevel="0" collapsed="false">
      <c r="B336" s="1" t="n">
        <v>336</v>
      </c>
      <c r="L336" s="4" t="n">
        <f aca="true">YEAR(TODAY())-H336</f>
        <v>2026</v>
      </c>
      <c r="N336" s="4" t="n">
        <f aca="true">O336+IF(AT336=1,480,0)+AA336+IF(K336="M",IF(AH336&gt;0,IF((TODAY()-AH336)/30.44&lt;6,2400,IF((TODAY()-AH336)/30.44&lt;12,1200,0)),0),0)+IF(AP336&gt;0,AP336,0)-R336-T336-S336-U336</f>
        <v>450</v>
      </c>
      <c r="O336" s="4" t="n">
        <f aca="true">IF(X336=1,1200,IF(YEAR(TODAY())-H336&lt;18,0,IF(YEAR(TODAY())-H336&lt;65,300,450)))</f>
        <v>450</v>
      </c>
      <c r="R336" s="4" t="n">
        <f aca="false">IF(MIN(AM336+IF(ISNUMBER(AN336),AN336,0),16000)&gt;=600,(MIN(AM336+IF(ISNUMBER(AN336),AN336,0),16000)-600)^0.8/10000*MIN(AM336+IF(ISNUMBER(AN336),AN336,0),16000),0)</f>
        <v>0</v>
      </c>
      <c r="S336" s="4" t="n">
        <f aca="false">IF(AB336=0,0,IF(AB336=1,30,IF(AB336=2,60,IF(AB336=3,120,IF(AB336=4,180,240)))))</f>
        <v>0</v>
      </c>
      <c r="T336" s="4" t="n">
        <f aca="false">IF(Y336&gt;0,Y336*600/MAX(1,Z336),0)</f>
        <v>0</v>
      </c>
      <c r="U336" s="4" t="n">
        <f aca="false">IF(AW336&gt;0,AW336*1000000*MAX(0,MIN(22,1+LOG10(AW336)))/100/12,0)</f>
        <v>0</v>
      </c>
      <c r="AA336" s="4" t="n">
        <f aca="true">IF(K336="W",IFERROR(IF(AND(AC336&gt;0,(TODAY()-AC336)&lt;36*365.25/12),2400/((TODAY()-AC336)/30.44/6+1),0),0)+IFERROR(IF(AND(AD336&gt;0,(TODAY()-AD336)&lt;36*365.25/12),2400/((TODAY()-AD336)/30.44/6+1),0),0)+IFERROR(IF(AND(AE336&gt;0,(TODAY()-AE336)&lt;36*365.25/12),2400/((TODAY()-AE336)/30.44/6+1),0),0)+IFERROR(IF(AND(AF336&gt;0,(TODAY()-AF336)&lt;36*365.25/12),2400/((TODAY()-AF336)/30.44/6+1),0),0)+IFERROR(IF(AND(AG336&gt;0,(TODAY()-AG336)&lt;36*365.25/12),2400/((TODAY()-AG336)/30.44/6+1),0),0),0)</f>
        <v>0</v>
      </c>
      <c r="AB336" s="4" t="n">
        <f aca="false">COUNTA(AC336:AG336)</f>
        <v>0</v>
      </c>
      <c r="AY336" s="1" t="n">
        <v>336</v>
      </c>
    </row>
    <row r="337" customFormat="false" ht="15" hidden="false" customHeight="true" outlineLevel="0" collapsed="false">
      <c r="B337" s="1" t="n">
        <v>337</v>
      </c>
      <c r="L337" s="4" t="n">
        <f aca="true">YEAR(TODAY())-H337</f>
        <v>2026</v>
      </c>
      <c r="N337" s="4" t="n">
        <f aca="true">O337+IF(AT337=1,480,0)+AA337+IF(K337="M",IF(AH337&gt;0,IF((TODAY()-AH337)/30.44&lt;6,2400,IF((TODAY()-AH337)/30.44&lt;12,1200,0)),0),0)+IF(AP337&gt;0,AP337,0)-R337-T337-S337-U337</f>
        <v>450</v>
      </c>
      <c r="O337" s="4" t="n">
        <f aca="true">IF(X337=1,1200,IF(YEAR(TODAY())-H337&lt;18,0,IF(YEAR(TODAY())-H337&lt;65,300,450)))</f>
        <v>450</v>
      </c>
      <c r="R337" s="4" t="n">
        <f aca="false">IF(MIN(AM337+IF(ISNUMBER(AN337),AN337,0),16000)&gt;=600,(MIN(AM337+IF(ISNUMBER(AN337),AN337,0),16000)-600)^0.8/10000*MIN(AM337+IF(ISNUMBER(AN337),AN337,0),16000),0)</f>
        <v>0</v>
      </c>
      <c r="S337" s="4" t="n">
        <f aca="false">IF(AB337=0,0,IF(AB337=1,30,IF(AB337=2,60,IF(AB337=3,120,IF(AB337=4,180,240)))))</f>
        <v>0</v>
      </c>
      <c r="T337" s="4" t="n">
        <f aca="false">IF(Y337&gt;0,Y337*600/MAX(1,Z337),0)</f>
        <v>0</v>
      </c>
      <c r="U337" s="4" t="n">
        <f aca="false">IF(AW337&gt;0,AW337*1000000*MAX(0,MIN(22,1+LOG10(AW337)))/100/12,0)</f>
        <v>0</v>
      </c>
      <c r="AA337" s="4" t="n">
        <f aca="true">IF(K337="W",IFERROR(IF(AND(AC337&gt;0,(TODAY()-AC337)&lt;36*365.25/12),2400/((TODAY()-AC337)/30.44/6+1),0),0)+IFERROR(IF(AND(AD337&gt;0,(TODAY()-AD337)&lt;36*365.25/12),2400/((TODAY()-AD337)/30.44/6+1),0),0)+IFERROR(IF(AND(AE337&gt;0,(TODAY()-AE337)&lt;36*365.25/12),2400/((TODAY()-AE337)/30.44/6+1),0),0)+IFERROR(IF(AND(AF337&gt;0,(TODAY()-AF337)&lt;36*365.25/12),2400/((TODAY()-AF337)/30.44/6+1),0),0)+IFERROR(IF(AND(AG337&gt;0,(TODAY()-AG337)&lt;36*365.25/12),2400/((TODAY()-AG337)/30.44/6+1),0),0),0)</f>
        <v>0</v>
      </c>
      <c r="AB337" s="4" t="n">
        <f aca="false">COUNTA(AC337:AG337)</f>
        <v>0</v>
      </c>
      <c r="AY337" s="1" t="n">
        <v>337</v>
      </c>
    </row>
    <row r="338" customFormat="false" ht="15" hidden="false" customHeight="true" outlineLevel="0" collapsed="false">
      <c r="B338" s="1" t="n">
        <v>338</v>
      </c>
      <c r="L338" s="4" t="n">
        <f aca="true">YEAR(TODAY())-H338</f>
        <v>2026</v>
      </c>
      <c r="N338" s="4" t="n">
        <f aca="true">O338+IF(AT338=1,480,0)+AA338+IF(K338="M",IF(AH338&gt;0,IF((TODAY()-AH338)/30.44&lt;6,2400,IF((TODAY()-AH338)/30.44&lt;12,1200,0)),0),0)+IF(AP338&gt;0,AP338,0)-R338-T338-S338-U338</f>
        <v>450</v>
      </c>
      <c r="O338" s="4" t="n">
        <f aca="true">IF(X338=1,1200,IF(YEAR(TODAY())-H338&lt;18,0,IF(YEAR(TODAY())-H338&lt;65,300,450)))</f>
        <v>450</v>
      </c>
      <c r="R338" s="4" t="n">
        <f aca="false">IF(MIN(AM338+IF(ISNUMBER(AN338),AN338,0),16000)&gt;=600,(MIN(AM338+IF(ISNUMBER(AN338),AN338,0),16000)-600)^0.8/10000*MIN(AM338+IF(ISNUMBER(AN338),AN338,0),16000),0)</f>
        <v>0</v>
      </c>
      <c r="S338" s="4" t="n">
        <f aca="false">IF(AB338=0,0,IF(AB338=1,30,IF(AB338=2,60,IF(AB338=3,120,IF(AB338=4,180,240)))))</f>
        <v>0</v>
      </c>
      <c r="T338" s="4" t="n">
        <f aca="false">IF(Y338&gt;0,Y338*600/MAX(1,Z338),0)</f>
        <v>0</v>
      </c>
      <c r="U338" s="4" t="n">
        <f aca="false">IF(AW338&gt;0,AW338*1000000*MAX(0,MIN(22,1+LOG10(AW338)))/100/12,0)</f>
        <v>0</v>
      </c>
      <c r="AA338" s="4" t="n">
        <f aca="true">IF(K338="W",IFERROR(IF(AND(AC338&gt;0,(TODAY()-AC338)&lt;36*365.25/12),2400/((TODAY()-AC338)/30.44/6+1),0),0)+IFERROR(IF(AND(AD338&gt;0,(TODAY()-AD338)&lt;36*365.25/12),2400/((TODAY()-AD338)/30.44/6+1),0),0)+IFERROR(IF(AND(AE338&gt;0,(TODAY()-AE338)&lt;36*365.25/12),2400/((TODAY()-AE338)/30.44/6+1),0),0)+IFERROR(IF(AND(AF338&gt;0,(TODAY()-AF338)&lt;36*365.25/12),2400/((TODAY()-AF338)/30.44/6+1),0),0)+IFERROR(IF(AND(AG338&gt;0,(TODAY()-AG338)&lt;36*365.25/12),2400/((TODAY()-AG338)/30.44/6+1),0),0),0)</f>
        <v>0</v>
      </c>
      <c r="AB338" s="4" t="n">
        <f aca="false">COUNTA(AC338:AG338)</f>
        <v>0</v>
      </c>
      <c r="AY338" s="1" t="n">
        <v>338</v>
      </c>
    </row>
    <row r="339" customFormat="false" ht="15" hidden="false" customHeight="true" outlineLevel="0" collapsed="false">
      <c r="B339" s="1" t="n">
        <v>339</v>
      </c>
      <c r="L339" s="4" t="n">
        <f aca="true">YEAR(TODAY())-H339</f>
        <v>2026</v>
      </c>
      <c r="N339" s="4" t="n">
        <f aca="true">O339+IF(AT339=1,480,0)+AA339+IF(K339="M",IF(AH339&gt;0,IF((TODAY()-AH339)/30.44&lt;6,2400,IF((TODAY()-AH339)/30.44&lt;12,1200,0)),0),0)+IF(AP339&gt;0,AP339,0)-R339-T339-S339-U339</f>
        <v>450</v>
      </c>
      <c r="O339" s="4" t="n">
        <f aca="true">IF(X339=1,1200,IF(YEAR(TODAY())-H339&lt;18,0,IF(YEAR(TODAY())-H339&lt;65,300,450)))</f>
        <v>450</v>
      </c>
      <c r="R339" s="4" t="n">
        <f aca="false">IF(MIN(AM339+IF(ISNUMBER(AN339),AN339,0),16000)&gt;=600,(MIN(AM339+IF(ISNUMBER(AN339),AN339,0),16000)-600)^0.8/10000*MIN(AM339+IF(ISNUMBER(AN339),AN339,0),16000),0)</f>
        <v>0</v>
      </c>
      <c r="S339" s="4" t="n">
        <f aca="false">IF(AB339=0,0,IF(AB339=1,30,IF(AB339=2,60,IF(AB339=3,120,IF(AB339=4,180,240)))))</f>
        <v>0</v>
      </c>
      <c r="T339" s="4" t="n">
        <f aca="false">IF(Y339&gt;0,Y339*600/MAX(1,Z339),0)</f>
        <v>0</v>
      </c>
      <c r="U339" s="4" t="n">
        <f aca="false">IF(AW339&gt;0,AW339*1000000*MAX(0,MIN(22,1+LOG10(AW339)))/100/12,0)</f>
        <v>0</v>
      </c>
      <c r="AA339" s="4" t="n">
        <f aca="true">IF(K339="W",IFERROR(IF(AND(AC339&gt;0,(TODAY()-AC339)&lt;36*365.25/12),2400/((TODAY()-AC339)/30.44/6+1),0),0)+IFERROR(IF(AND(AD339&gt;0,(TODAY()-AD339)&lt;36*365.25/12),2400/((TODAY()-AD339)/30.44/6+1),0),0)+IFERROR(IF(AND(AE339&gt;0,(TODAY()-AE339)&lt;36*365.25/12),2400/((TODAY()-AE339)/30.44/6+1),0),0)+IFERROR(IF(AND(AF339&gt;0,(TODAY()-AF339)&lt;36*365.25/12),2400/((TODAY()-AF339)/30.44/6+1),0),0)+IFERROR(IF(AND(AG339&gt;0,(TODAY()-AG339)&lt;36*365.25/12),2400/((TODAY()-AG339)/30.44/6+1),0),0),0)</f>
        <v>0</v>
      </c>
      <c r="AB339" s="4" t="n">
        <f aca="false">COUNTA(AC339:AG339)</f>
        <v>0</v>
      </c>
      <c r="AY339" s="1" t="n">
        <v>339</v>
      </c>
    </row>
    <row r="340" customFormat="false" ht="15" hidden="false" customHeight="true" outlineLevel="0" collapsed="false">
      <c r="B340" s="1" t="n">
        <v>340</v>
      </c>
      <c r="L340" s="4" t="n">
        <f aca="true">YEAR(TODAY())-H340</f>
        <v>2026</v>
      </c>
      <c r="N340" s="4" t="n">
        <f aca="true">O340+IF(AT340=1,480,0)+AA340+IF(K340="M",IF(AH340&gt;0,IF((TODAY()-AH340)/30.44&lt;6,2400,IF((TODAY()-AH340)/30.44&lt;12,1200,0)),0),0)+IF(AP340&gt;0,AP340,0)-R340-T340-S340-U340</f>
        <v>450</v>
      </c>
      <c r="O340" s="4" t="n">
        <f aca="true">IF(X340=1,1200,IF(YEAR(TODAY())-H340&lt;18,0,IF(YEAR(TODAY())-H340&lt;65,300,450)))</f>
        <v>450</v>
      </c>
      <c r="R340" s="4" t="n">
        <f aca="false">IF(MIN(AM340+IF(ISNUMBER(AN340),AN340,0),16000)&gt;=600,(MIN(AM340+IF(ISNUMBER(AN340),AN340,0),16000)-600)^0.8/10000*MIN(AM340+IF(ISNUMBER(AN340),AN340,0),16000),0)</f>
        <v>0</v>
      </c>
      <c r="S340" s="4" t="n">
        <f aca="false">IF(AB340=0,0,IF(AB340=1,30,IF(AB340=2,60,IF(AB340=3,120,IF(AB340=4,180,240)))))</f>
        <v>0</v>
      </c>
      <c r="T340" s="4" t="n">
        <f aca="false">IF(Y340&gt;0,Y340*600/MAX(1,Z340),0)</f>
        <v>0</v>
      </c>
      <c r="U340" s="4" t="n">
        <f aca="false">IF(AW340&gt;0,AW340*1000000*MAX(0,MIN(22,1+LOG10(AW340)))/100/12,0)</f>
        <v>0</v>
      </c>
      <c r="AA340" s="4" t="n">
        <f aca="true">IF(K340="W",IFERROR(IF(AND(AC340&gt;0,(TODAY()-AC340)&lt;36*365.25/12),2400/((TODAY()-AC340)/30.44/6+1),0),0)+IFERROR(IF(AND(AD340&gt;0,(TODAY()-AD340)&lt;36*365.25/12),2400/((TODAY()-AD340)/30.44/6+1),0),0)+IFERROR(IF(AND(AE340&gt;0,(TODAY()-AE340)&lt;36*365.25/12),2400/((TODAY()-AE340)/30.44/6+1),0),0)+IFERROR(IF(AND(AF340&gt;0,(TODAY()-AF340)&lt;36*365.25/12),2400/((TODAY()-AF340)/30.44/6+1),0),0)+IFERROR(IF(AND(AG340&gt;0,(TODAY()-AG340)&lt;36*365.25/12),2400/((TODAY()-AG340)/30.44/6+1),0),0),0)</f>
        <v>0</v>
      </c>
      <c r="AB340" s="4" t="n">
        <f aca="false">COUNTA(AC340:AG340)</f>
        <v>0</v>
      </c>
      <c r="AY340" s="1" t="n">
        <v>340</v>
      </c>
    </row>
    <row r="341" customFormat="false" ht="15" hidden="false" customHeight="true" outlineLevel="0" collapsed="false">
      <c r="B341" s="5"/>
      <c r="C341" s="5"/>
      <c r="D341" s="5"/>
      <c r="E341" s="5"/>
      <c r="F341" s="5"/>
      <c r="H341" s="5"/>
      <c r="K341" s="5"/>
      <c r="L341" s="5"/>
      <c r="N341" s="5"/>
      <c r="O341" s="5"/>
      <c r="P341" s="5"/>
      <c r="R341" s="5"/>
      <c r="S341" s="5"/>
      <c r="T341" s="5"/>
      <c r="U341" s="5"/>
      <c r="X341" s="5"/>
      <c r="Z341" s="5"/>
      <c r="AA341" s="5"/>
      <c r="AB341" s="5"/>
      <c r="AJ341" s="5"/>
      <c r="AS341" s="5"/>
      <c r="AT341" s="5"/>
      <c r="CN341" s="1"/>
    </row>
    <row r="342" customFormat="false" ht="15" hidden="false" customHeight="true" outlineLevel="0" collapsed="false"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6"/>
      <c r="N342" s="6"/>
      <c r="O342" s="5"/>
      <c r="P342" s="5"/>
      <c r="Q342" s="6"/>
      <c r="R342" s="5"/>
      <c r="S342" s="5"/>
      <c r="T342" s="5"/>
      <c r="U342" s="5"/>
      <c r="V342" s="5"/>
      <c r="W342" s="5"/>
      <c r="X342" s="5"/>
      <c r="Z342" s="5"/>
      <c r="AA342" s="5"/>
      <c r="AB342" s="6"/>
      <c r="AH342" s="5"/>
      <c r="AI342" s="5"/>
      <c r="AK342" s="5"/>
      <c r="AL342" s="5"/>
      <c r="AP342" s="5"/>
      <c r="AQ342" s="5"/>
      <c r="AS342" s="5"/>
      <c r="AT342" s="5"/>
      <c r="AU342" s="5"/>
      <c r="AV342" s="5"/>
      <c r="BC342" s="5"/>
      <c r="CN342" s="5"/>
      <c r="CP342" s="5"/>
      <c r="CQ342" s="5"/>
      <c r="CR342" s="5"/>
    </row>
    <row r="343" customFormat="false" ht="15" hidden="false" customHeight="true" outlineLevel="0" collapsed="false"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6"/>
      <c r="N343" s="6"/>
      <c r="O343" s="6"/>
      <c r="P343" s="5"/>
      <c r="Q343" s="6"/>
      <c r="R343" s="5"/>
      <c r="S343" s="5"/>
      <c r="T343" s="5"/>
      <c r="U343" s="5"/>
      <c r="V343" s="5"/>
      <c r="W343" s="5"/>
      <c r="X343" s="5"/>
      <c r="Z343" s="5"/>
      <c r="AA343" s="5"/>
      <c r="AB343" s="6"/>
      <c r="AH343" s="6"/>
      <c r="AK343" s="5"/>
      <c r="AL343" s="5"/>
      <c r="AP343" s="5"/>
      <c r="AQ343" s="5"/>
      <c r="AS343" s="5"/>
      <c r="AT343" s="5"/>
      <c r="AU343" s="5"/>
      <c r="AV343" s="5"/>
      <c r="BC343" s="5"/>
      <c r="CN343" s="5"/>
      <c r="CP343" s="5"/>
      <c r="CQ343" s="5"/>
      <c r="CR343" s="5"/>
    </row>
    <row r="344" customFormat="false" ht="15" hidden="false" customHeight="true" outlineLevel="0" collapsed="false"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6"/>
      <c r="N344" s="6"/>
      <c r="O344" s="6"/>
      <c r="P344" s="5"/>
      <c r="Q344" s="6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6"/>
      <c r="AH344" s="6"/>
      <c r="AK344" s="5"/>
      <c r="AL344" s="5"/>
      <c r="AP344" s="5"/>
      <c r="AQ344" s="5"/>
      <c r="AS344" s="5"/>
      <c r="AT344" s="5"/>
      <c r="AU344" s="5"/>
      <c r="AV344" s="5"/>
      <c r="BC344" s="5"/>
      <c r="CN344" s="5"/>
      <c r="CP344" s="5"/>
      <c r="CQ344" s="5"/>
      <c r="CR344" s="5"/>
    </row>
    <row r="345" customFormat="false" ht="15" hidden="false" customHeight="true" outlineLevel="0" collapsed="false">
      <c r="B345" s="5"/>
      <c r="C345" s="5"/>
      <c r="D345" s="5"/>
      <c r="E345" s="5"/>
      <c r="F345" s="5"/>
      <c r="H345" s="5"/>
      <c r="I345" s="5"/>
      <c r="J345" s="5"/>
      <c r="K345" s="5"/>
      <c r="L345" s="5"/>
      <c r="M345" s="6"/>
      <c r="N345" s="6"/>
      <c r="O345" s="5"/>
      <c r="P345" s="5"/>
      <c r="Q345" s="6"/>
      <c r="R345" s="5"/>
      <c r="S345" s="5"/>
      <c r="T345" s="5"/>
      <c r="U345" s="5"/>
      <c r="V345" s="5"/>
      <c r="W345" s="5"/>
      <c r="X345" s="5"/>
      <c r="Z345" s="5"/>
      <c r="AA345" s="5"/>
      <c r="AB345" s="6"/>
      <c r="AH345" s="5"/>
      <c r="AK345" s="5"/>
      <c r="AL345" s="5"/>
      <c r="AP345" s="5"/>
      <c r="AQ345" s="5"/>
      <c r="AS345" s="5"/>
      <c r="AT345" s="5"/>
      <c r="AU345" s="5"/>
      <c r="AV345" s="5"/>
      <c r="BC345" s="5"/>
      <c r="CN345" s="5"/>
      <c r="CP345" s="5"/>
      <c r="CQ345" s="5"/>
      <c r="CR345" s="5"/>
    </row>
    <row r="346" customFormat="false" ht="15" hidden="false" customHeight="true" outlineLevel="0" collapsed="false">
      <c r="B346" s="5"/>
      <c r="C346" s="5"/>
      <c r="D346" s="5"/>
      <c r="E346" s="5"/>
      <c r="F346" s="5"/>
      <c r="H346" s="5"/>
      <c r="I346" s="5"/>
      <c r="J346" s="5"/>
      <c r="K346" s="5"/>
      <c r="L346" s="5"/>
      <c r="M346" s="6"/>
      <c r="N346" s="6"/>
      <c r="O346" s="6"/>
      <c r="P346" s="5"/>
      <c r="Q346" s="6"/>
      <c r="R346" s="5"/>
      <c r="S346" s="5"/>
      <c r="T346" s="5"/>
      <c r="U346" s="5"/>
      <c r="V346" s="5"/>
      <c r="W346" s="5"/>
      <c r="X346" s="5"/>
      <c r="Z346" s="5"/>
      <c r="AA346" s="5"/>
      <c r="AB346" s="6"/>
      <c r="AH346" s="6"/>
      <c r="AK346" s="5"/>
      <c r="AL346" s="5"/>
      <c r="AP346" s="5"/>
      <c r="AQ346" s="5"/>
      <c r="AS346" s="5"/>
      <c r="AT346" s="5"/>
      <c r="AU346" s="5"/>
      <c r="AV346" s="5"/>
      <c r="BC346" s="5"/>
      <c r="CN346" s="5"/>
      <c r="CP346" s="5"/>
      <c r="CQ346" s="5"/>
      <c r="CR346" s="5"/>
    </row>
    <row r="347" customFormat="false" ht="15" hidden="false" customHeight="true" outlineLevel="0" collapsed="false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Z347" s="4"/>
      <c r="AA347" s="4"/>
      <c r="AB347" s="4"/>
      <c r="AH347" s="4"/>
      <c r="AK347" s="4"/>
      <c r="AL347" s="4"/>
      <c r="AP347" s="4"/>
      <c r="AQ347" s="4"/>
      <c r="AS347" s="4"/>
      <c r="AT347" s="4"/>
      <c r="AU347" s="4"/>
      <c r="AV347" s="4"/>
      <c r="AX347" s="4"/>
      <c r="BC347" s="4"/>
      <c r="CN347" s="4"/>
      <c r="CP347" s="4"/>
      <c r="CQ347" s="4"/>
      <c r="CR347" s="4"/>
    </row>
    <row r="348" customFormat="false" ht="15" hidden="false" customHeight="true" outlineLevel="0" collapsed="false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Z348" s="4"/>
      <c r="AA348" s="4"/>
      <c r="AB348" s="4"/>
      <c r="AC348" s="7"/>
      <c r="AD348" s="7"/>
      <c r="AE348" s="7"/>
      <c r="AH348" s="4"/>
      <c r="AK348" s="4"/>
      <c r="AL348" s="4"/>
      <c r="AP348" s="4"/>
      <c r="AQ348" s="4"/>
      <c r="AS348" s="4"/>
      <c r="AT348" s="4"/>
      <c r="AU348" s="4"/>
      <c r="AV348" s="4"/>
      <c r="BC348" s="4"/>
      <c r="CN348" s="4"/>
      <c r="CO348" s="4"/>
      <c r="CP348" s="4"/>
      <c r="CQ348" s="4"/>
      <c r="CR348" s="4"/>
    </row>
    <row r="349" customFormat="false" ht="15" hidden="false" customHeight="true" outlineLevel="0" collapsed="false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Z349" s="4"/>
      <c r="AA349" s="4"/>
      <c r="AB349" s="4"/>
      <c r="AC349" s="7"/>
      <c r="AD349" s="7"/>
      <c r="AE349" s="7"/>
      <c r="AH349" s="4"/>
      <c r="AK349" s="4"/>
      <c r="AL349" s="4"/>
      <c r="AP349" s="4"/>
      <c r="AQ349" s="4"/>
      <c r="AS349" s="4"/>
      <c r="AT349" s="4"/>
      <c r="AU349" s="4"/>
      <c r="AV349" s="4"/>
      <c r="BC349" s="4"/>
      <c r="CN349" s="4"/>
      <c r="CP349" s="4"/>
      <c r="CQ349" s="4"/>
      <c r="CR349" s="4"/>
    </row>
    <row r="350" customFormat="false" ht="15" hidden="false" customHeight="true" outlineLevel="0" collapsed="false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Z350" s="4"/>
      <c r="AA350" s="4"/>
      <c r="AB350" s="4"/>
      <c r="AH350" s="4"/>
      <c r="AK350" s="4"/>
      <c r="AL350" s="4"/>
      <c r="AP350" s="4"/>
      <c r="AQ350" s="4"/>
      <c r="AS350" s="4"/>
      <c r="AT350" s="4"/>
      <c r="AU350" s="4"/>
      <c r="AV350" s="4"/>
      <c r="BC350" s="4"/>
      <c r="CN350" s="4"/>
      <c r="CO350" s="4"/>
      <c r="CP350" s="4"/>
      <c r="CQ350" s="4"/>
      <c r="CR35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46</v>
      </c>
      <c r="H1" s="1" t="s">
        <v>330</v>
      </c>
      <c r="I1" s="1" t="n">
        <v>2025</v>
      </c>
      <c r="J1" s="1" t="n">
        <v>2026</v>
      </c>
      <c r="K1" s="1" t="n">
        <v>2027</v>
      </c>
      <c r="L1" s="1" t="n">
        <v>2028</v>
      </c>
      <c r="M1" s="1" t="n">
        <v>2029</v>
      </c>
      <c r="N1" s="1" t="n">
        <v>2030</v>
      </c>
      <c r="O1" s="1" t="s">
        <v>331</v>
      </c>
      <c r="P1" s="1" t="n">
        <v>2025</v>
      </c>
      <c r="Q1" s="1" t="n">
        <v>2026</v>
      </c>
      <c r="R1" s="1" t="n">
        <v>2027</v>
      </c>
      <c r="S1" s="1" t="n">
        <v>2028</v>
      </c>
      <c r="T1" s="1" t="n">
        <v>2029</v>
      </c>
      <c r="U1" s="1" t="n">
        <v>2030</v>
      </c>
      <c r="W1" s="1" t="n">
        <v>2025</v>
      </c>
      <c r="X1" s="1" t="n">
        <v>2026</v>
      </c>
      <c r="Y1" s="1" t="n">
        <v>2027</v>
      </c>
      <c r="Z1" s="1" t="n">
        <v>2028</v>
      </c>
      <c r="AA1" s="1" t="n">
        <v>2029</v>
      </c>
      <c r="AB1" s="1" t="n">
        <v>2030</v>
      </c>
      <c r="AC1" s="1" t="s">
        <v>325</v>
      </c>
      <c r="AD1" s="3" t="s">
        <v>332</v>
      </c>
    </row>
    <row r="2" customFormat="false" ht="15" hidden="false" customHeight="true" outlineLevel="0" collapsed="false">
      <c r="A2" s="1" t="s">
        <v>34</v>
      </c>
      <c r="B2" s="1" t="n">
        <v>2</v>
      </c>
      <c r="C2" s="1" t="s">
        <v>333</v>
      </c>
      <c r="D2" s="1" t="n">
        <v>3</v>
      </c>
      <c r="I2" s="1" t="n">
        <v>40</v>
      </c>
      <c r="V2" s="1" t="s">
        <v>334</v>
      </c>
      <c r="X2" s="1" t="n">
        <v>325</v>
      </c>
      <c r="AC2" s="1" t="n">
        <v>2</v>
      </c>
      <c r="AD2" s="4" t="s">
        <v>335</v>
      </c>
    </row>
    <row r="3" customFormat="false" ht="15" hidden="false" customHeight="true" outlineLevel="0" collapsed="false">
      <c r="B3" s="1" t="n">
        <v>3</v>
      </c>
      <c r="C3" s="1" t="s">
        <v>336</v>
      </c>
      <c r="D3" s="1" t="n">
        <v>2</v>
      </c>
      <c r="I3" s="1" t="n">
        <v>25</v>
      </c>
      <c r="V3" s="1" t="s">
        <v>337</v>
      </c>
      <c r="W3" s="1" t="n">
        <v>15</v>
      </c>
      <c r="X3" s="1" t="n">
        <v>25</v>
      </c>
      <c r="AC3" s="1" t="n">
        <v>3</v>
      </c>
      <c r="AD3" s="4" t="s">
        <v>338</v>
      </c>
    </row>
    <row r="4" customFormat="false" ht="15" hidden="false" customHeight="true" outlineLevel="0" collapsed="false">
      <c r="A4" s="1" t="s">
        <v>339</v>
      </c>
      <c r="B4" s="1" t="n">
        <v>4</v>
      </c>
      <c r="C4" s="1" t="s">
        <v>340</v>
      </c>
      <c r="D4" s="1" t="n">
        <v>5</v>
      </c>
      <c r="I4" s="1" t="n">
        <v>20</v>
      </c>
      <c r="V4" s="1" t="s">
        <v>341</v>
      </c>
      <c r="AC4" s="1" t="n">
        <v>4</v>
      </c>
      <c r="AD4" s="4" t="s">
        <v>342</v>
      </c>
    </row>
    <row r="5" customFormat="false" ht="15" hidden="false" customHeight="true" outlineLevel="0" collapsed="false">
      <c r="A5" s="1" t="s">
        <v>343</v>
      </c>
      <c r="B5" s="1" t="n">
        <v>5</v>
      </c>
      <c r="C5" s="1" t="s">
        <v>344</v>
      </c>
      <c r="D5" s="1" t="n">
        <v>3</v>
      </c>
      <c r="I5" s="1" t="n">
        <v>50</v>
      </c>
      <c r="V5" s="1" t="s">
        <v>345</v>
      </c>
      <c r="AC5" s="1" t="n">
        <v>5</v>
      </c>
      <c r="AD5" s="4" t="s">
        <v>346</v>
      </c>
    </row>
    <row r="6" customFormat="false" ht="15" hidden="false" customHeight="true" outlineLevel="0" collapsed="false">
      <c r="B6" s="1" t="n">
        <v>6</v>
      </c>
      <c r="C6" s="1" t="s">
        <v>347</v>
      </c>
      <c r="D6" s="1" t="n">
        <v>2</v>
      </c>
      <c r="I6" s="1" t="n">
        <v>75</v>
      </c>
      <c r="V6" s="1" t="s">
        <v>348</v>
      </c>
      <c r="AC6" s="1" t="n">
        <v>6</v>
      </c>
      <c r="AD6" s="4" t="s">
        <v>349</v>
      </c>
    </row>
    <row r="7" customFormat="false" ht="15" hidden="false" customHeight="true" outlineLevel="0" collapsed="false">
      <c r="A7" s="1" t="s">
        <v>350</v>
      </c>
      <c r="B7" s="1" t="n">
        <v>7</v>
      </c>
      <c r="V7" s="1" t="s">
        <v>351</v>
      </c>
      <c r="AC7" s="1" t="n">
        <v>7</v>
      </c>
    </row>
    <row r="8" customFormat="false" ht="15" hidden="false" customHeight="true" outlineLevel="0" collapsed="false">
      <c r="B8" s="1" t="n">
        <v>8</v>
      </c>
      <c r="V8" s="1" t="s">
        <v>352</v>
      </c>
      <c r="AC8" s="1" t="n">
        <v>8</v>
      </c>
    </row>
    <row r="9" customFormat="false" ht="15" hidden="false" customHeight="true" outlineLevel="0" collapsed="false">
      <c r="A9" s="1" t="s">
        <v>353</v>
      </c>
      <c r="B9" s="1" t="n">
        <v>9</v>
      </c>
      <c r="AC9" s="1" t="n">
        <v>9</v>
      </c>
    </row>
    <row r="10" customFormat="false" ht="15" hidden="false" customHeight="true" outlineLevel="0" collapsed="false">
      <c r="B10" s="1" t="n">
        <v>10</v>
      </c>
      <c r="AC10" s="1" t="n">
        <v>10</v>
      </c>
    </row>
    <row r="11" customFormat="false" ht="15" hidden="false" customHeight="true" outlineLevel="0" collapsed="false">
      <c r="A11" s="1" t="s">
        <v>354</v>
      </c>
      <c r="B11" s="1" t="n">
        <v>11</v>
      </c>
      <c r="AC11" s="1" t="n">
        <v>11</v>
      </c>
    </row>
    <row r="12" customFormat="false" ht="15" hidden="false" customHeight="true" outlineLevel="0" collapsed="false">
      <c r="B12" s="1" t="n">
        <v>12</v>
      </c>
      <c r="AC12" s="1" t="n">
        <v>12</v>
      </c>
    </row>
    <row r="13" customFormat="false" ht="15" hidden="false" customHeight="true" outlineLevel="0" collapsed="false">
      <c r="A13" s="1" t="s">
        <v>355</v>
      </c>
      <c r="B13" s="1" t="n">
        <v>13</v>
      </c>
      <c r="AC13" s="1" t="n">
        <v>13</v>
      </c>
    </row>
    <row r="14" customFormat="false" ht="15" hidden="false" customHeight="true" outlineLevel="0" collapsed="false">
      <c r="B14" s="1" t="n">
        <v>14</v>
      </c>
      <c r="AC14" s="1" t="n">
        <v>14</v>
      </c>
    </row>
    <row r="15" customFormat="false" ht="15" hidden="false" customHeight="true" outlineLevel="0" collapsed="false">
      <c r="B15" s="1" t="n">
        <v>15</v>
      </c>
      <c r="AC15" s="1" t="n">
        <v>15</v>
      </c>
    </row>
    <row r="16" customFormat="false" ht="15" hidden="false" customHeight="true" outlineLevel="0" collapsed="false">
      <c r="B16" s="1" t="n">
        <v>16</v>
      </c>
      <c r="AC16" s="1" t="n">
        <v>16</v>
      </c>
    </row>
    <row r="17" customFormat="false" ht="15" hidden="false" customHeight="true" outlineLevel="0" collapsed="false">
      <c r="B17" s="1" t="n">
        <v>17</v>
      </c>
      <c r="AC17" s="1" t="n">
        <v>17</v>
      </c>
    </row>
    <row r="18" customFormat="false" ht="15" hidden="false" customHeight="true" outlineLevel="0" collapsed="false">
      <c r="B18" s="1" t="n">
        <v>18</v>
      </c>
      <c r="AC18" s="1" t="n">
        <v>18</v>
      </c>
    </row>
    <row r="19" customFormat="false" ht="15" hidden="false" customHeight="true" outlineLevel="0" collapsed="false">
      <c r="B19" s="1" t="n">
        <v>19</v>
      </c>
      <c r="AC19" s="1" t="n">
        <v>19</v>
      </c>
    </row>
    <row r="20" customFormat="false" ht="15" hidden="false" customHeight="true" outlineLevel="0" collapsed="false">
      <c r="B20" s="1" t="n">
        <v>20</v>
      </c>
      <c r="AC20" s="1" t="n">
        <v>20</v>
      </c>
    </row>
    <row r="21" customFormat="false" ht="15" hidden="false" customHeight="true" outlineLevel="0" collapsed="false">
      <c r="B21" s="1" t="n">
        <v>21</v>
      </c>
      <c r="AC21" s="1" t="n">
        <v>21</v>
      </c>
    </row>
    <row r="22" customFormat="false" ht="15" hidden="false" customHeight="true" outlineLevel="0" collapsed="false">
      <c r="B22" s="1" t="n">
        <v>22</v>
      </c>
      <c r="AC22" s="1" t="n">
        <v>22</v>
      </c>
    </row>
    <row r="23" customFormat="false" ht="15" hidden="false" customHeight="true" outlineLevel="0" collapsed="false">
      <c r="B23" s="1" t="n">
        <v>23</v>
      </c>
      <c r="AC23" s="1" t="n">
        <v>23</v>
      </c>
    </row>
    <row r="24" customFormat="false" ht="15" hidden="false" customHeight="true" outlineLevel="0" collapsed="false">
      <c r="B24" s="1" t="n">
        <v>24</v>
      </c>
      <c r="AC24" s="1" t="n">
        <v>24</v>
      </c>
    </row>
    <row r="25" customFormat="false" ht="15" hidden="false" customHeight="true" outlineLevel="0" collapsed="false">
      <c r="B25" s="1" t="n">
        <v>25</v>
      </c>
      <c r="AC25" s="1" t="n">
        <v>25</v>
      </c>
    </row>
    <row r="26" customFormat="false" ht="15" hidden="false" customHeight="true" outlineLevel="0" collapsed="false">
      <c r="B26" s="1" t="n">
        <v>26</v>
      </c>
      <c r="AC26" s="1" t="n">
        <v>26</v>
      </c>
    </row>
    <row r="27" customFormat="false" ht="15" hidden="false" customHeight="true" outlineLevel="0" collapsed="false">
      <c r="B27" s="1" t="n">
        <v>27</v>
      </c>
      <c r="AC27" s="1" t="n">
        <v>27</v>
      </c>
    </row>
    <row r="28" customFormat="false" ht="15" hidden="false" customHeight="true" outlineLevel="0" collapsed="false">
      <c r="B28" s="1" t="n">
        <v>28</v>
      </c>
      <c r="AC28" s="1" t="n">
        <v>28</v>
      </c>
    </row>
    <row r="29" customFormat="false" ht="15" hidden="false" customHeight="true" outlineLevel="0" collapsed="false">
      <c r="B29" s="1" t="n">
        <v>29</v>
      </c>
      <c r="AC29" s="1" t="n">
        <v>29</v>
      </c>
    </row>
    <row r="30" customFormat="false" ht="15" hidden="false" customHeight="true" outlineLevel="0" collapsed="false">
      <c r="B30" s="1" t="n">
        <v>30</v>
      </c>
      <c r="AC30" s="1" t="n">
        <v>30</v>
      </c>
    </row>
    <row r="31" customFormat="false" ht="15" hidden="false" customHeight="true" outlineLevel="0" collapsed="false">
      <c r="B31" s="1" t="n">
        <v>31</v>
      </c>
      <c r="AC31" s="1" t="n">
        <v>31</v>
      </c>
    </row>
    <row r="32" customFormat="false" ht="15" hidden="false" customHeight="true" outlineLevel="0" collapsed="false">
      <c r="B32" s="1" t="n">
        <v>32</v>
      </c>
      <c r="AC32" s="1" t="n">
        <v>32</v>
      </c>
    </row>
    <row r="33" customFormat="false" ht="15" hidden="false" customHeight="true" outlineLevel="0" collapsed="false">
      <c r="B33" s="1" t="n">
        <v>33</v>
      </c>
      <c r="AC33" s="1" t="n">
        <v>33</v>
      </c>
    </row>
    <row r="34" customFormat="false" ht="15" hidden="false" customHeight="true" outlineLevel="0" collapsed="false">
      <c r="B34" s="1" t="n">
        <v>34</v>
      </c>
      <c r="AC34" s="1" t="n">
        <v>34</v>
      </c>
    </row>
    <row r="35" customFormat="false" ht="15" hidden="false" customHeight="true" outlineLevel="0" collapsed="false">
      <c r="B35" s="1" t="n">
        <v>35</v>
      </c>
      <c r="AC35" s="1" t="n">
        <v>35</v>
      </c>
    </row>
    <row r="36" customFormat="false" ht="15" hidden="false" customHeight="true" outlineLevel="0" collapsed="false">
      <c r="B36" s="1" t="n">
        <v>36</v>
      </c>
      <c r="AC36" s="1" t="n">
        <v>36</v>
      </c>
    </row>
    <row r="37" customFormat="false" ht="15" hidden="false" customHeight="true" outlineLevel="0" collapsed="false">
      <c r="B37" s="1" t="n">
        <v>37</v>
      </c>
      <c r="AC37" s="1" t="n">
        <v>37</v>
      </c>
    </row>
    <row r="38" customFormat="false" ht="15" hidden="false" customHeight="true" outlineLevel="0" collapsed="false">
      <c r="B38" s="1" t="n">
        <v>38</v>
      </c>
      <c r="AC38" s="1" t="n">
        <v>38</v>
      </c>
    </row>
    <row r="39" customFormat="false" ht="15" hidden="false" customHeight="true" outlineLevel="0" collapsed="false">
      <c r="B39" s="1" t="n">
        <v>39</v>
      </c>
      <c r="AC39" s="1" t="n">
        <v>39</v>
      </c>
    </row>
    <row r="40" customFormat="false" ht="15" hidden="false" customHeight="true" outlineLevel="0" collapsed="false">
      <c r="B40" s="1" t="n">
        <v>40</v>
      </c>
      <c r="AC40" s="1" t="n">
        <v>40</v>
      </c>
    </row>
    <row r="41" customFormat="false" ht="15" hidden="false" customHeight="true" outlineLevel="0" collapsed="false">
      <c r="B41" s="1" t="n">
        <v>41</v>
      </c>
      <c r="AC41" s="1" t="n">
        <v>41</v>
      </c>
    </row>
    <row r="42" customFormat="false" ht="15" hidden="false" customHeight="true" outlineLevel="0" collapsed="false">
      <c r="B42" s="1" t="n">
        <v>42</v>
      </c>
      <c r="AC42" s="1" t="n">
        <v>42</v>
      </c>
    </row>
    <row r="43" customFormat="false" ht="15" hidden="false" customHeight="true" outlineLevel="0" collapsed="false">
      <c r="B43" s="1" t="n">
        <v>43</v>
      </c>
      <c r="AC43" s="1" t="n">
        <v>43</v>
      </c>
    </row>
    <row r="44" customFormat="false" ht="15" hidden="false" customHeight="true" outlineLevel="0" collapsed="false">
      <c r="B44" s="1" t="n">
        <v>44</v>
      </c>
      <c r="AC44" s="1" t="n">
        <v>44</v>
      </c>
    </row>
    <row r="45" customFormat="false" ht="15" hidden="false" customHeight="true" outlineLevel="0" collapsed="false">
      <c r="B45" s="1" t="n">
        <v>45</v>
      </c>
      <c r="AC45" s="1" t="n">
        <v>45</v>
      </c>
    </row>
    <row r="46" customFormat="false" ht="15" hidden="false" customHeight="true" outlineLevel="0" collapsed="false">
      <c r="B46" s="1" t="n">
        <v>46</v>
      </c>
      <c r="AC46" s="1" t="n">
        <v>46</v>
      </c>
    </row>
    <row r="47" customFormat="false" ht="15" hidden="false" customHeight="true" outlineLevel="0" collapsed="false">
      <c r="B47" s="1" t="n">
        <v>47</v>
      </c>
      <c r="AC47" s="1" t="n">
        <v>47</v>
      </c>
    </row>
    <row r="48" customFormat="false" ht="15" hidden="false" customHeight="true" outlineLevel="0" collapsed="false">
      <c r="B48" s="1" t="n">
        <v>48</v>
      </c>
      <c r="AC48" s="1" t="n">
        <v>48</v>
      </c>
    </row>
    <row r="49" customFormat="false" ht="15" hidden="false" customHeight="true" outlineLevel="0" collapsed="false">
      <c r="B49" s="1" t="n">
        <v>49</v>
      </c>
      <c r="AC49" s="1" t="n">
        <v>49</v>
      </c>
    </row>
    <row r="50" customFormat="false" ht="15" hidden="false" customHeight="true" outlineLevel="0" collapsed="false">
      <c r="B50" s="1" t="s">
        <v>325</v>
      </c>
      <c r="C50" s="1" t="s">
        <v>326</v>
      </c>
      <c r="D50" s="1" t="s">
        <v>327</v>
      </c>
      <c r="E50" s="1" t="s">
        <v>328</v>
      </c>
      <c r="F50" s="1" t="s">
        <v>329</v>
      </c>
      <c r="H50" s="1" t="s">
        <v>330</v>
      </c>
      <c r="I50" s="1" t="n">
        <v>2025</v>
      </c>
      <c r="J50" s="1" t="n">
        <v>2026</v>
      </c>
      <c r="K50" s="1" t="n">
        <v>2027</v>
      </c>
      <c r="L50" s="1" t="n">
        <v>2028</v>
      </c>
      <c r="M50" s="1" t="n">
        <v>2029</v>
      </c>
      <c r="N50" s="1" t="n">
        <v>2030</v>
      </c>
      <c r="O50" s="1" t="s">
        <v>331</v>
      </c>
      <c r="P50" s="1" t="n">
        <v>2025</v>
      </c>
      <c r="Q50" s="1" t="n">
        <v>2026</v>
      </c>
      <c r="R50" s="1" t="n">
        <v>2027</v>
      </c>
      <c r="S50" s="1" t="n">
        <v>2028</v>
      </c>
      <c r="T50" s="1" t="n">
        <v>2029</v>
      </c>
      <c r="U50" s="1" t="n">
        <v>2030</v>
      </c>
      <c r="W50" s="1" t="n">
        <v>2025</v>
      </c>
      <c r="X50" s="1" t="n">
        <v>2026</v>
      </c>
      <c r="Y50" s="1" t="n">
        <v>2027</v>
      </c>
      <c r="Z50" s="1" t="n">
        <v>2028</v>
      </c>
      <c r="AA50" s="1" t="n">
        <v>2029</v>
      </c>
      <c r="AB50" s="1" t="n">
        <v>2030</v>
      </c>
      <c r="AC50" s="1" t="n">
        <v>50</v>
      </c>
    </row>
    <row r="51" customFormat="false" ht="15" hidden="false" customHeight="true" outlineLevel="0" collapsed="false">
      <c r="AC51" s="1" t="n">
        <v>51</v>
      </c>
    </row>
    <row r="52" customFormat="false" ht="15" hidden="false" customHeight="true" outlineLevel="0" collapsed="false">
      <c r="AC52" s="1" t="n">
        <v>52</v>
      </c>
    </row>
    <row r="53" customFormat="false" ht="15" hidden="false" customHeight="true" outlineLevel="0" collapsed="false">
      <c r="AC53" s="1" t="n">
        <v>53</v>
      </c>
    </row>
    <row r="54" customFormat="false" ht="15" hidden="false" customHeight="true" outlineLevel="0" collapsed="false">
      <c r="AC54" s="1" t="n">
        <v>54</v>
      </c>
    </row>
    <row r="55" customFormat="false" ht="15" hidden="false" customHeight="true" outlineLevel="0" collapsed="false">
      <c r="AC55" s="1" t="n">
        <v>55</v>
      </c>
    </row>
    <row r="56" customFormat="false" ht="15" hidden="false" customHeight="true" outlineLevel="0" collapsed="false">
      <c r="AC56" s="1" t="n">
        <v>56</v>
      </c>
    </row>
    <row r="57" customFormat="false" ht="15" hidden="false" customHeight="true" outlineLevel="0" collapsed="false">
      <c r="AC57" s="1" t="n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17</v>
      </c>
      <c r="B1" s="1" t="s">
        <v>356</v>
      </c>
      <c r="C1" s="1" t="s">
        <v>357</v>
      </c>
      <c r="D1" s="1" t="s">
        <v>6</v>
      </c>
      <c r="E1" s="1" t="s">
        <v>358</v>
      </c>
      <c r="F1" s="1" t="s">
        <v>359</v>
      </c>
      <c r="G1" s="1" t="s">
        <v>34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P1" s="1" t="s">
        <v>365</v>
      </c>
    </row>
    <row r="2" customFormat="false" ht="15" hidden="false" customHeight="true" outlineLevel="0" collapsed="false">
      <c r="A2" s="1" t="s">
        <v>192</v>
      </c>
      <c r="B2" s="1" t="s">
        <v>366</v>
      </c>
      <c r="C2" s="1" t="s">
        <v>367</v>
      </c>
      <c r="D2" s="1" t="s">
        <v>368</v>
      </c>
      <c r="E2" s="1" t="n">
        <v>900</v>
      </c>
      <c r="F2" s="1" t="n">
        <v>200</v>
      </c>
      <c r="G2" s="1" t="n">
        <v>45375</v>
      </c>
      <c r="H2" s="1" t="n">
        <v>2</v>
      </c>
      <c r="K2" s="1" t="s">
        <v>369</v>
      </c>
      <c r="M2" s="1" t="s">
        <v>370</v>
      </c>
      <c r="P2" s="1" t="s">
        <v>371</v>
      </c>
      <c r="Q2" s="1" t="s">
        <v>130</v>
      </c>
      <c r="R2" s="1" t="s">
        <v>131</v>
      </c>
      <c r="S2" s="1" t="s">
        <v>249</v>
      </c>
      <c r="T2" s="1" t="s">
        <v>250</v>
      </c>
    </row>
    <row r="3" customFormat="false" ht="15" hidden="false" customHeight="true" outlineLevel="0" collapsed="false">
      <c r="B3" s="1" t="s">
        <v>372</v>
      </c>
      <c r="C3" s="1" t="s">
        <v>373</v>
      </c>
      <c r="D3" s="1" t="s">
        <v>374</v>
      </c>
      <c r="E3" s="1" t="n">
        <v>1100</v>
      </c>
      <c r="F3" s="1" t="n">
        <v>250</v>
      </c>
      <c r="G3" s="1" t="n">
        <v>45384</v>
      </c>
      <c r="H3" s="1" t="n">
        <v>2</v>
      </c>
      <c r="K3" s="1" t="s">
        <v>369</v>
      </c>
      <c r="P3" s="1" t="s">
        <v>141</v>
      </c>
    </row>
    <row r="4" customFormat="false" ht="15" hidden="false" customHeight="true" outlineLevel="0" collapsed="false">
      <c r="B4" s="1" t="s">
        <v>375</v>
      </c>
      <c r="C4" s="1" t="s">
        <v>376</v>
      </c>
      <c r="D4" s="1" t="s">
        <v>377</v>
      </c>
      <c r="E4" s="1" t="n">
        <v>3300</v>
      </c>
      <c r="F4" s="1" t="n">
        <v>600</v>
      </c>
      <c r="G4" s="1" t="n">
        <v>45419</v>
      </c>
      <c r="H4" s="1" t="n">
        <v>5</v>
      </c>
      <c r="K4" s="1" t="s">
        <v>378</v>
      </c>
      <c r="P4" s="1" t="s">
        <v>148</v>
      </c>
      <c r="Q4" s="1" t="s">
        <v>149</v>
      </c>
      <c r="R4" s="1" t="s">
        <v>150</v>
      </c>
      <c r="S4" s="1" t="s">
        <v>254</v>
      </c>
      <c r="T4" s="1" t="s">
        <v>255</v>
      </c>
    </row>
    <row r="5" customFormat="false" ht="15" hidden="false" customHeight="true" outlineLevel="0" collapsed="false">
      <c r="A5" s="1" t="s">
        <v>379</v>
      </c>
      <c r="B5" s="1" t="s">
        <v>380</v>
      </c>
      <c r="C5" s="1" t="s">
        <v>381</v>
      </c>
      <c r="D5" s="1" t="s">
        <v>382</v>
      </c>
      <c r="E5" s="1" t="n">
        <v>875</v>
      </c>
      <c r="F5" s="1" t="n">
        <v>100</v>
      </c>
      <c r="G5" s="1" t="n">
        <v>45481</v>
      </c>
      <c r="H5" s="1" t="n">
        <v>5</v>
      </c>
      <c r="K5" s="1" t="s">
        <v>383</v>
      </c>
      <c r="P5" s="1" t="n">
        <v>500</v>
      </c>
    </row>
    <row r="6" customFormat="false" ht="15" hidden="false" customHeight="true" outlineLevel="0" collapsed="false">
      <c r="B6" s="1" t="s">
        <v>384</v>
      </c>
      <c r="C6" s="1" t="s">
        <v>385</v>
      </c>
      <c r="D6" s="1" t="s">
        <v>386</v>
      </c>
      <c r="E6" s="1" t="n">
        <v>2400</v>
      </c>
      <c r="F6" s="1" t="n">
        <v>300</v>
      </c>
      <c r="G6" s="1" t="n">
        <v>45505</v>
      </c>
      <c r="H6" s="1" t="n">
        <v>7</v>
      </c>
      <c r="K6" s="1" t="s">
        <v>378</v>
      </c>
    </row>
    <row r="7" customFormat="false" ht="15" hidden="false" customHeight="true" outlineLevel="0" collapsed="false">
      <c r="B7" s="1" t="s">
        <v>387</v>
      </c>
      <c r="C7" s="1" t="s">
        <v>388</v>
      </c>
      <c r="D7" s="1" t="s">
        <v>389</v>
      </c>
      <c r="E7" s="1" t="n">
        <v>1200</v>
      </c>
      <c r="F7" s="1" t="n">
        <v>150</v>
      </c>
      <c r="G7" s="1" t="n">
        <v>45510</v>
      </c>
      <c r="H7" s="1" t="n">
        <v>11</v>
      </c>
      <c r="K7" s="1" t="s">
        <v>390</v>
      </c>
    </row>
    <row r="8" customFormat="false" ht="15" hidden="false" customHeight="true" outlineLevel="0" collapsed="false">
      <c r="A8" s="1" t="s">
        <v>391</v>
      </c>
      <c r="B8" s="1" t="s">
        <v>392</v>
      </c>
      <c r="C8" s="1" t="s">
        <v>393</v>
      </c>
      <c r="D8" s="1" t="s">
        <v>394</v>
      </c>
      <c r="E8" s="1" t="n">
        <v>2400</v>
      </c>
      <c r="F8" s="1" t="n">
        <v>200</v>
      </c>
      <c r="G8" s="1" t="n">
        <v>45693</v>
      </c>
      <c r="H8" s="1" t="n">
        <v>5</v>
      </c>
      <c r="K8" s="1" t="s">
        <v>395</v>
      </c>
    </row>
    <row r="9" customFormat="false" ht="15" hidden="false" customHeight="true" outlineLevel="0" collapsed="false">
      <c r="B9" s="1" t="s">
        <v>396</v>
      </c>
      <c r="C9" s="1" t="s">
        <v>397</v>
      </c>
      <c r="D9" s="1" t="s">
        <v>398</v>
      </c>
      <c r="E9" s="1" t="n">
        <v>2000</v>
      </c>
      <c r="F9" s="1" t="n">
        <v>250</v>
      </c>
      <c r="G9" s="1" t="n">
        <v>45812</v>
      </c>
      <c r="H9" s="1" t="n">
        <v>20</v>
      </c>
      <c r="K9" s="1" t="s">
        <v>369</v>
      </c>
    </row>
    <row r="10" customFormat="false" ht="15" hidden="false" customHeight="true" outlineLevel="0" collapsed="false">
      <c r="B10" s="1" t="s">
        <v>399</v>
      </c>
      <c r="C10" s="1" t="s">
        <v>400</v>
      </c>
      <c r="D10" s="1" t="s">
        <v>401</v>
      </c>
      <c r="E10" s="1" t="n">
        <v>1500</v>
      </c>
      <c r="F10" s="1" t="n">
        <v>400</v>
      </c>
      <c r="G10" s="1" t="n">
        <v>45846</v>
      </c>
      <c r="H10" s="1" t="n">
        <v>15</v>
      </c>
      <c r="K10" s="1" t="s">
        <v>16</v>
      </c>
    </row>
    <row r="11" customFormat="false" ht="15" hidden="false" customHeight="true" outlineLevel="0" collapsed="false">
      <c r="B11" s="1" t="s">
        <v>402</v>
      </c>
      <c r="C11" s="1" t="s">
        <v>403</v>
      </c>
      <c r="D11" s="1" t="s">
        <v>404</v>
      </c>
      <c r="E11" s="1" t="n">
        <v>5000</v>
      </c>
      <c r="F11" s="1" t="n">
        <v>500</v>
      </c>
      <c r="G11" s="1" t="n">
        <v>45936</v>
      </c>
      <c r="H11" s="1" t="n">
        <v>11</v>
      </c>
      <c r="K11" s="1" t="s">
        <v>405</v>
      </c>
    </row>
    <row r="12" customFormat="false" ht="15" hidden="false" customHeight="true" outlineLevel="0" collapsed="false">
      <c r="B12" s="1" t="s">
        <v>406</v>
      </c>
      <c r="C12" s="1" t="s">
        <v>407</v>
      </c>
    </row>
    <row r="13" customFormat="false" ht="15" hidden="false" customHeight="true" outlineLevel="0" collapsed="false">
      <c r="B13" s="1" t="s">
        <v>408</v>
      </c>
      <c r="C13" s="1" t="s">
        <v>409</v>
      </c>
    </row>
    <row r="14" customFormat="false" ht="15" hidden="false" customHeight="true" outlineLevel="0" collapsed="false">
      <c r="B14" s="1" t="s">
        <v>410</v>
      </c>
      <c r="C14" s="1" t="s">
        <v>411</v>
      </c>
    </row>
    <row r="15" customFormat="false" ht="15" hidden="false" customHeight="true" outlineLevel="0" collapsed="false">
      <c r="B15" s="1" t="s">
        <v>412</v>
      </c>
      <c r="C15" s="1" t="s">
        <v>413</v>
      </c>
      <c r="P15" s="1" t="s">
        <v>414</v>
      </c>
      <c r="Q15" s="1" t="s">
        <v>415</v>
      </c>
      <c r="R15" s="1" t="s">
        <v>416</v>
      </c>
      <c r="S15" s="1" t="s">
        <v>417</v>
      </c>
      <c r="T15" s="1" t="s">
        <v>418</v>
      </c>
      <c r="U15" s="1" t="s">
        <v>419</v>
      </c>
      <c r="V15" s="1" t="s">
        <v>420</v>
      </c>
      <c r="W15" s="1" t="s">
        <v>421</v>
      </c>
    </row>
    <row r="16" customFormat="false" ht="15" hidden="false" customHeight="true" outlineLevel="0" collapsed="false">
      <c r="B16" s="1" t="s">
        <v>422</v>
      </c>
      <c r="C16" s="1" t="s">
        <v>423</v>
      </c>
      <c r="P16" s="1" t="s">
        <v>424</v>
      </c>
      <c r="Q16" s="1" t="n">
        <v>30</v>
      </c>
      <c r="S16" s="1" t="n">
        <v>1000</v>
      </c>
    </row>
    <row r="17" customFormat="false" ht="15" hidden="false" customHeight="true" outlineLevel="0" collapsed="false">
      <c r="B17" s="1" t="s">
        <v>425</v>
      </c>
      <c r="C17" s="1" t="s">
        <v>426</v>
      </c>
      <c r="P17" s="1" t="s">
        <v>427</v>
      </c>
      <c r="Q17" s="1" t="n">
        <v>21.5</v>
      </c>
      <c r="S17" s="1" t="n">
        <v>2000</v>
      </c>
    </row>
    <row r="18" customFormat="false" ht="15" hidden="false" customHeight="true" outlineLevel="0" collapsed="false">
      <c r="B18" s="1" t="s">
        <v>428</v>
      </c>
      <c r="C18" s="1" t="s">
        <v>429</v>
      </c>
      <c r="P18" s="1" t="s">
        <v>430</v>
      </c>
      <c r="Q18" s="1" t="n">
        <v>6</v>
      </c>
      <c r="S18" s="1" t="n">
        <v>8000</v>
      </c>
    </row>
    <row r="19" customFormat="false" ht="15" hidden="false" customHeight="true" outlineLevel="0" collapsed="false">
      <c r="B19" s="1" t="s">
        <v>431</v>
      </c>
      <c r="C19" s="1" t="s">
        <v>432</v>
      </c>
      <c r="P19" s="1" t="s">
        <v>433</v>
      </c>
      <c r="Q19" s="1" t="n">
        <v>0.5</v>
      </c>
      <c r="S19" s="1" t="n">
        <v>16000</v>
      </c>
    </row>
    <row r="20" customFormat="false" ht="15" hidden="false" customHeight="true" outlineLevel="0" collapsed="false">
      <c r="B20" s="1" t="s">
        <v>434</v>
      </c>
      <c r="C20" s="1" t="s">
        <v>435</v>
      </c>
      <c r="P20" s="1" t="s">
        <v>436</v>
      </c>
      <c r="Q20" s="1" t="n">
        <v>42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</row>
    <row r="21" customFormat="false" ht="15" hidden="false" customHeight="true" outlineLevel="0" collapsed="false">
      <c r="B21" s="1" t="s">
        <v>437</v>
      </c>
      <c r="C21" s="1" t="s">
        <v>438</v>
      </c>
      <c r="P21" s="1" t="s">
        <v>439</v>
      </c>
    </row>
    <row r="22" customFormat="false" ht="15" hidden="false" customHeight="true" outlineLevel="0" collapsed="false">
      <c r="B22" s="1" t="s">
        <v>440</v>
      </c>
      <c r="C22" s="1" t="s">
        <v>441</v>
      </c>
    </row>
    <row r="23" customFormat="false" ht="15" hidden="false" customHeight="true" outlineLevel="0" collapsed="false">
      <c r="B23" s="1" t="s">
        <v>442</v>
      </c>
      <c r="C23" s="1" t="s">
        <v>443</v>
      </c>
    </row>
    <row r="24" customFormat="false" ht="15" hidden="false" customHeight="true" outlineLevel="0" collapsed="false">
      <c r="B24" s="1" t="s">
        <v>444</v>
      </c>
    </row>
    <row r="25" customFormat="false" ht="15" hidden="false" customHeight="true" outlineLevel="0" collapsed="false">
      <c r="B25" s="1" t="s">
        <v>445</v>
      </c>
    </row>
    <row r="26" customFormat="false" ht="15" hidden="false" customHeight="true" outlineLevel="0" collapsed="false">
      <c r="B26" s="1" t="s">
        <v>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452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449</v>
      </c>
      <c r="P1" s="1" t="s">
        <v>450</v>
      </c>
      <c r="Q1" s="1" t="s">
        <v>451</v>
      </c>
      <c r="R1" s="1" t="s">
        <v>452</v>
      </c>
      <c r="S1" s="1" t="s">
        <v>453</v>
      </c>
      <c r="T1" s="1" t="s">
        <v>454</v>
      </c>
      <c r="U1" s="1" t="s">
        <v>461</v>
      </c>
      <c r="V1" s="1" t="s">
        <v>448</v>
      </c>
      <c r="W1" s="1" t="s">
        <v>449</v>
      </c>
      <c r="X1" s="1" t="s">
        <v>450</v>
      </c>
      <c r="Y1" s="1" t="s">
        <v>451</v>
      </c>
      <c r="Z1" s="1" t="s">
        <v>452</v>
      </c>
      <c r="AA1" s="1" t="s">
        <v>453</v>
      </c>
      <c r="AB1" s="1" t="s">
        <v>454</v>
      </c>
      <c r="AC1" s="1" t="s">
        <v>455</v>
      </c>
      <c r="AD1" s="1" t="s">
        <v>456</v>
      </c>
      <c r="AE1" s="1" t="s">
        <v>457</v>
      </c>
      <c r="AF1" s="1" t="s">
        <v>458</v>
      </c>
      <c r="AG1" s="1" t="s">
        <v>459</v>
      </c>
      <c r="AH1" s="1" t="s">
        <v>460</v>
      </c>
      <c r="AI1" s="1" t="s">
        <v>449</v>
      </c>
      <c r="AJ1" s="1" t="s">
        <v>450</v>
      </c>
      <c r="AK1" s="1" t="s">
        <v>451</v>
      </c>
      <c r="AL1" s="1" t="s">
        <v>452</v>
      </c>
      <c r="AM1" s="1" t="s">
        <v>453</v>
      </c>
      <c r="AN1" s="1" t="s">
        <v>454</v>
      </c>
    </row>
    <row r="2" customFormat="false" ht="15" hidden="false" customHeight="true" outlineLevel="0" collapsed="false">
      <c r="B2" s="1" t="n">
        <v>2</v>
      </c>
      <c r="V2" s="1" t="n">
        <v>2</v>
      </c>
    </row>
    <row r="3" customFormat="false" ht="15" hidden="false" customHeight="true" outlineLevel="0" collapsed="false">
      <c r="B3" s="1" t="n">
        <v>3</v>
      </c>
      <c r="V3" s="1" t="n">
        <v>3</v>
      </c>
    </row>
    <row r="4" customFormat="false" ht="15" hidden="false" customHeight="true" outlineLevel="0" collapsed="false">
      <c r="B4" s="1" t="n">
        <v>4</v>
      </c>
      <c r="V4" s="1" t="n">
        <v>4</v>
      </c>
    </row>
    <row r="5" customFormat="false" ht="15" hidden="false" customHeight="true" outlineLevel="0" collapsed="false">
      <c r="B5" s="1" t="n">
        <v>5</v>
      </c>
      <c r="V5" s="1" t="n">
        <v>5</v>
      </c>
    </row>
    <row r="6" customFormat="false" ht="15" hidden="false" customHeight="true" outlineLevel="0" collapsed="false">
      <c r="B6" s="1" t="n">
        <v>6</v>
      </c>
      <c r="V6" s="1" t="n">
        <v>6</v>
      </c>
    </row>
    <row r="7" customFormat="false" ht="15" hidden="false" customHeight="true" outlineLevel="0" collapsed="false">
      <c r="B7" s="1" t="n">
        <v>7</v>
      </c>
      <c r="V7" s="1" t="n">
        <v>7</v>
      </c>
    </row>
    <row r="8" customFormat="false" ht="15" hidden="false" customHeight="true" outlineLevel="0" collapsed="false">
      <c r="B8" s="1" t="n">
        <v>8</v>
      </c>
      <c r="V8" s="1" t="n">
        <v>8</v>
      </c>
    </row>
    <row r="9" customFormat="false" ht="15" hidden="false" customHeight="true" outlineLevel="0" collapsed="false">
      <c r="B9" s="1" t="n">
        <v>9</v>
      </c>
      <c r="V9" s="1" t="n">
        <v>9</v>
      </c>
    </row>
    <row r="10" customFormat="false" ht="15" hidden="false" customHeight="true" outlineLevel="0" collapsed="false">
      <c r="B10" s="1" t="n">
        <v>10</v>
      </c>
      <c r="V10" s="1" t="n">
        <v>10</v>
      </c>
    </row>
    <row r="11" customFormat="false" ht="15" hidden="false" customHeight="true" outlineLevel="0" collapsed="false">
      <c r="B11" s="1" t="n">
        <v>11</v>
      </c>
      <c r="V11" s="1" t="n">
        <v>11</v>
      </c>
    </row>
    <row r="12" customFormat="false" ht="15" hidden="false" customHeight="true" outlineLevel="0" collapsed="false">
      <c r="B12" s="1" t="n">
        <v>12</v>
      </c>
      <c r="V12" s="1" t="n">
        <v>12</v>
      </c>
    </row>
    <row r="13" customFormat="false" ht="15" hidden="false" customHeight="true" outlineLevel="0" collapsed="false">
      <c r="B13" s="1" t="n">
        <v>13</v>
      </c>
      <c r="V13" s="1" t="n">
        <v>13</v>
      </c>
    </row>
    <row r="14" customFormat="false" ht="15" hidden="false" customHeight="true" outlineLevel="0" collapsed="false">
      <c r="B14" s="1" t="n">
        <v>14</v>
      </c>
      <c r="V14" s="1" t="n">
        <v>14</v>
      </c>
    </row>
    <row r="15" customFormat="false" ht="15" hidden="false" customHeight="true" outlineLevel="0" collapsed="false">
      <c r="B15" s="1" t="n">
        <v>15</v>
      </c>
      <c r="V15" s="1" t="n">
        <v>15</v>
      </c>
    </row>
    <row r="16" customFormat="false" ht="15" hidden="false" customHeight="true" outlineLevel="0" collapsed="false">
      <c r="B16" s="1" t="n">
        <v>16</v>
      </c>
      <c r="V16" s="1" t="n">
        <v>16</v>
      </c>
    </row>
    <row r="17" customFormat="false" ht="15" hidden="false" customHeight="true" outlineLevel="0" collapsed="false">
      <c r="B17" s="1" t="n">
        <v>17</v>
      </c>
      <c r="V17" s="1" t="n">
        <v>17</v>
      </c>
    </row>
    <row r="18" customFormat="false" ht="15" hidden="false" customHeight="true" outlineLevel="0" collapsed="false">
      <c r="B18" s="1" t="n">
        <v>18</v>
      </c>
      <c r="V18" s="1" t="n">
        <v>18</v>
      </c>
    </row>
    <row r="19" customFormat="false" ht="15" hidden="false" customHeight="true" outlineLevel="0" collapsed="false">
      <c r="B19" s="1" t="n">
        <v>19</v>
      </c>
      <c r="V19" s="1" t="n">
        <v>19</v>
      </c>
    </row>
    <row r="20" customFormat="false" ht="15" hidden="false" customHeight="true" outlineLevel="0" collapsed="false">
      <c r="B20" s="1" t="n">
        <v>20</v>
      </c>
      <c r="V20" s="1" t="n">
        <v>20</v>
      </c>
    </row>
    <row r="21" customFormat="false" ht="15" hidden="false" customHeight="true" outlineLevel="0" collapsed="false">
      <c r="B21" s="1" t="n">
        <v>21</v>
      </c>
      <c r="V21" s="1" t="n">
        <v>21</v>
      </c>
    </row>
    <row r="22" customFormat="false" ht="15" hidden="false" customHeight="true" outlineLevel="0" collapsed="false">
      <c r="B22" s="1" t="n">
        <v>22</v>
      </c>
      <c r="V22" s="1" t="n">
        <v>22</v>
      </c>
    </row>
    <row r="23" customFormat="false" ht="15" hidden="false" customHeight="true" outlineLevel="0" collapsed="false">
      <c r="B23" s="1" t="n">
        <v>23</v>
      </c>
      <c r="V23" s="1" t="n">
        <v>23</v>
      </c>
    </row>
    <row r="24" customFormat="false" ht="15" hidden="false" customHeight="true" outlineLevel="0" collapsed="false">
      <c r="B24" s="1" t="n">
        <v>24</v>
      </c>
      <c r="V24" s="1" t="n">
        <v>24</v>
      </c>
    </row>
    <row r="25" customFormat="false" ht="15" hidden="false" customHeight="true" outlineLevel="0" collapsed="false">
      <c r="B25" s="1" t="n">
        <v>25</v>
      </c>
      <c r="V25" s="1" t="n">
        <v>25</v>
      </c>
    </row>
    <row r="26" customFormat="false" ht="15" hidden="false" customHeight="true" outlineLevel="0" collapsed="false">
      <c r="B26" s="1" t="n">
        <v>26</v>
      </c>
      <c r="V26" s="1" t="n">
        <v>26</v>
      </c>
    </row>
    <row r="27" customFormat="false" ht="15" hidden="false" customHeight="true" outlineLevel="0" collapsed="false">
      <c r="B27" s="1" t="n">
        <v>27</v>
      </c>
      <c r="V27" s="1" t="n">
        <v>27</v>
      </c>
    </row>
    <row r="28" customFormat="false" ht="15" hidden="false" customHeight="true" outlineLevel="0" collapsed="false">
      <c r="B28" s="1" t="n">
        <v>28</v>
      </c>
      <c r="V28" s="1" t="n">
        <v>28</v>
      </c>
    </row>
    <row r="29" customFormat="false" ht="15" hidden="false" customHeight="true" outlineLevel="0" collapsed="false">
      <c r="B29" s="1" t="n">
        <v>29</v>
      </c>
      <c r="V29" s="1" t="n">
        <v>29</v>
      </c>
    </row>
    <row r="30" customFormat="false" ht="15" hidden="false" customHeight="true" outlineLevel="0" collapsed="false">
      <c r="B30" s="1" t="n">
        <v>30</v>
      </c>
      <c r="V30" s="1" t="n">
        <v>30</v>
      </c>
    </row>
    <row r="31" customFormat="false" ht="15" hidden="false" customHeight="true" outlineLevel="0" collapsed="false">
      <c r="B31" s="1" t="n">
        <v>31</v>
      </c>
      <c r="V31" s="1" t="n">
        <v>31</v>
      </c>
    </row>
    <row r="32" customFormat="false" ht="15" hidden="false" customHeight="true" outlineLevel="0" collapsed="false">
      <c r="B32" s="1" t="n">
        <v>32</v>
      </c>
      <c r="V32" s="1" t="n">
        <v>32</v>
      </c>
    </row>
    <row r="33" customFormat="false" ht="15" hidden="false" customHeight="true" outlineLevel="0" collapsed="false">
      <c r="B33" s="1" t="n">
        <v>33</v>
      </c>
      <c r="V33" s="1" t="n">
        <v>33</v>
      </c>
    </row>
    <row r="34" customFormat="false" ht="15" hidden="false" customHeight="true" outlineLevel="0" collapsed="false">
      <c r="B34" s="1" t="n">
        <v>34</v>
      </c>
      <c r="V34" s="1" t="n">
        <v>34</v>
      </c>
    </row>
    <row r="35" customFormat="false" ht="15" hidden="false" customHeight="true" outlineLevel="0" collapsed="false">
      <c r="B35" s="1" t="n">
        <v>35</v>
      </c>
    </row>
    <row r="36" customFormat="false" ht="15" hidden="false" customHeight="true" outlineLevel="0" collapsed="false">
      <c r="B36" s="1" t="n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462</v>
      </c>
      <c r="B1" s="1" t="s">
        <v>463</v>
      </c>
      <c r="C1" s="1" t="s">
        <v>464</v>
      </c>
      <c r="D1" s="1" t="s">
        <v>465</v>
      </c>
      <c r="E1" s="1" t="s">
        <v>466</v>
      </c>
      <c r="F1" s="1" t="s">
        <v>12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</row>
    <row r="2" customFormat="false" ht="15" hidden="false" customHeight="true" outlineLevel="0" collapsed="false">
      <c r="A2" s="1" t="s">
        <v>473</v>
      </c>
      <c r="B2" s="1" t="n">
        <v>1</v>
      </c>
      <c r="C2" s="1" t="n">
        <v>10</v>
      </c>
      <c r="D2" s="1" t="n">
        <v>3</v>
      </c>
      <c r="E2" s="1" t="n">
        <v>10</v>
      </c>
      <c r="K2" s="1" t="n">
        <v>44594</v>
      </c>
    </row>
    <row r="3" customFormat="false" ht="15" hidden="false" customHeight="true" outlineLevel="0" collapsed="false">
      <c r="B3" s="1" t="n">
        <v>2</v>
      </c>
      <c r="C3" s="1" t="n">
        <v>25</v>
      </c>
      <c r="D3" s="1" t="n">
        <v>4</v>
      </c>
      <c r="E3" s="1" t="n">
        <v>15</v>
      </c>
      <c r="K3" s="1" t="s">
        <v>471</v>
      </c>
      <c r="L3" s="1" t="s">
        <v>472</v>
      </c>
      <c r="M3" s="1" t="s">
        <v>474</v>
      </c>
      <c r="N3" s="1" t="s">
        <v>475</v>
      </c>
      <c r="O3" s="1" t="s">
        <v>476</v>
      </c>
      <c r="P3" s="1" t="s">
        <v>477</v>
      </c>
    </row>
    <row r="4" customFormat="false" ht="15" hidden="false" customHeight="true" outlineLevel="0" collapsed="false">
      <c r="A4" s="1" t="s">
        <v>478</v>
      </c>
      <c r="B4" s="1" t="n">
        <v>3</v>
      </c>
      <c r="C4" s="1" t="n">
        <v>100</v>
      </c>
      <c r="D4" s="1" t="n">
        <v>2</v>
      </c>
      <c r="E4" s="1" t="n">
        <v>15</v>
      </c>
      <c r="K4" s="1" t="n">
        <v>44594</v>
      </c>
      <c r="M4" s="1" t="n">
        <v>1</v>
      </c>
    </row>
    <row r="5" customFormat="false" ht="15" hidden="false" customHeight="true" outlineLevel="0" collapsed="false">
      <c r="B5" s="1" t="n">
        <v>4</v>
      </c>
      <c r="C5" s="1" t="n">
        <v>500</v>
      </c>
      <c r="D5" s="1" t="n">
        <v>3</v>
      </c>
      <c r="E5" s="1" t="n">
        <v>20</v>
      </c>
      <c r="K5" s="1" t="n">
        <v>44594</v>
      </c>
      <c r="M5" s="1" t="n">
        <v>1</v>
      </c>
    </row>
    <row r="6" customFormat="false" ht="15" hidden="false" customHeight="true" outlineLevel="0" collapsed="false">
      <c r="A6" s="1" t="s">
        <v>479</v>
      </c>
      <c r="B6" s="1" t="n">
        <v>5</v>
      </c>
      <c r="C6" s="1" t="n">
        <v>20</v>
      </c>
      <c r="D6" s="1" t="n">
        <v>5</v>
      </c>
      <c r="E6" s="1" t="n">
        <v>10</v>
      </c>
      <c r="K6" s="1" t="n">
        <v>44594</v>
      </c>
      <c r="M6" s="1" t="n">
        <v>0</v>
      </c>
    </row>
    <row r="7" customFormat="false" ht="15" hidden="false" customHeight="true" outlineLevel="0" collapsed="false">
      <c r="B7" s="1" t="n">
        <v>6</v>
      </c>
      <c r="K7" s="1" t="n">
        <v>44594</v>
      </c>
      <c r="M7" s="1" t="n">
        <v>1</v>
      </c>
    </row>
    <row r="8" customFormat="false" ht="15" hidden="false" customHeight="true" outlineLevel="0" collapsed="false">
      <c r="A8" s="1" t="s">
        <v>480</v>
      </c>
      <c r="B8" s="1" t="n">
        <v>7</v>
      </c>
    </row>
    <row r="9" customFormat="false" ht="15" hidden="false" customHeight="true" outlineLevel="0" collapsed="false">
      <c r="B9" s="1" t="n">
        <v>8</v>
      </c>
    </row>
    <row r="10" customFormat="false" ht="15" hidden="false" customHeight="true" outlineLevel="0" collapsed="false">
      <c r="B10" s="1" t="n">
        <v>9</v>
      </c>
    </row>
    <row r="11" customFormat="false" ht="15" hidden="false" customHeight="true" outlineLevel="0" collapsed="false">
      <c r="B11" s="1" t="n">
        <v>10</v>
      </c>
    </row>
    <row r="12" customFormat="false" ht="15" hidden="false" customHeight="true" outlineLevel="0" collapsed="false">
      <c r="B12" s="1" t="n">
        <v>11</v>
      </c>
    </row>
    <row r="13" customFormat="false" ht="15" hidden="false" customHeight="true" outlineLevel="0" collapsed="false">
      <c r="B13" s="1" t="n">
        <v>12</v>
      </c>
    </row>
    <row r="14" customFormat="false" ht="15" hidden="false" customHeight="true" outlineLevel="0" collapsed="false">
      <c r="B14" s="1" t="n">
        <v>13</v>
      </c>
    </row>
    <row r="15" customFormat="false" ht="15" hidden="false" customHeight="true" outlineLevel="0" collapsed="false">
      <c r="B15" s="1" t="n">
        <v>14</v>
      </c>
    </row>
    <row r="16" customFormat="false" ht="15" hidden="false" customHeight="true" outlineLevel="0" collapsed="false">
      <c r="B16" s="1" t="n">
        <v>15</v>
      </c>
    </row>
    <row r="17" customFormat="false" ht="15" hidden="false" customHeight="true" outlineLevel="0" collapsed="false">
      <c r="B17" s="1" t="n">
        <v>16</v>
      </c>
    </row>
    <row r="18" customFormat="false" ht="15" hidden="false" customHeight="true" outlineLevel="0" collapsed="false">
      <c r="B18" s="1" t="n">
        <v>17</v>
      </c>
    </row>
    <row r="19" customFormat="false" ht="15" hidden="false" customHeight="true" outlineLevel="0" collapsed="false">
      <c r="B19" s="1" t="n">
        <v>18</v>
      </c>
    </row>
    <row r="20" customFormat="false" ht="15" hidden="false" customHeight="true" outlineLevel="0" collapsed="false">
      <c r="B20" s="1" t="n">
        <v>19</v>
      </c>
    </row>
    <row r="23" customFormat="false" ht="15" hidden="false" customHeight="true" outlineLevel="0" collapsed="false">
      <c r="B23" s="1" t="n">
        <v>20</v>
      </c>
    </row>
    <row r="24" customFormat="false" ht="15" hidden="false" customHeight="true" outlineLevel="0" collapsed="false">
      <c r="B24" s="1" t="n">
        <v>21</v>
      </c>
    </row>
    <row r="25" customFormat="false" ht="15" hidden="false" customHeight="true" outlineLevel="0" collapsed="false">
      <c r="B25" s="1" t="n">
        <v>22</v>
      </c>
    </row>
    <row r="26" customFormat="false" ht="15" hidden="false" customHeight="true" outlineLevel="0" collapsed="false">
      <c r="B26" s="1" t="n">
        <v>23</v>
      </c>
    </row>
    <row r="27" customFormat="false" ht="15" hidden="false" customHeight="true" outlineLevel="0" collapsed="false">
      <c r="B27" s="1" t="n">
        <v>24</v>
      </c>
    </row>
    <row r="28" customFormat="false" ht="15" hidden="false" customHeight="true" outlineLevel="0" collapsed="false">
      <c r="B28" s="1" t="n">
        <v>25</v>
      </c>
    </row>
    <row r="29" customFormat="false" ht="15" hidden="false" customHeight="true" outlineLevel="0" collapsed="false">
      <c r="B29" s="1" t="n">
        <v>26</v>
      </c>
    </row>
    <row r="30" customFormat="false" ht="15" hidden="false" customHeight="true" outlineLevel="0" collapsed="false">
      <c r="B30" s="1" t="n">
        <v>27</v>
      </c>
    </row>
    <row r="31" customFormat="false" ht="15" hidden="false" customHeight="true" outlineLevel="0" collapsed="false">
      <c r="B31" s="1" t="n">
        <v>28</v>
      </c>
    </row>
    <row r="32" customFormat="false" ht="15" hidden="false" customHeight="true" outlineLevel="0" collapsed="false">
      <c r="B32" s="1" t="n">
        <v>29</v>
      </c>
    </row>
    <row r="33" customFormat="false" ht="15" hidden="false" customHeight="true" outlineLevel="0" collapsed="false">
      <c r="B33" s="1" t="n">
        <v>30</v>
      </c>
    </row>
    <row r="34" customFormat="false" ht="15" hidden="false" customHeight="true" outlineLevel="0" collapsed="false">
      <c r="B34" s="1" t="n">
        <v>31</v>
      </c>
    </row>
    <row r="35" customFormat="false" ht="15" hidden="false" customHeight="true" outlineLevel="0" collapsed="false">
      <c r="B35" s="1" t="n">
        <v>32</v>
      </c>
    </row>
    <row r="36" customFormat="false" ht="15" hidden="false" customHeight="true" outlineLevel="0" collapsed="false">
      <c r="B36" s="1" t="n">
        <v>33</v>
      </c>
    </row>
    <row r="37" customFormat="false" ht="15" hidden="false" customHeight="true" outlineLevel="0" collapsed="false">
      <c r="B37" s="1" t="n">
        <v>34</v>
      </c>
    </row>
    <row r="38" customFormat="false" ht="15" hidden="false" customHeight="true" outlineLevel="0" collapsed="false">
      <c r="B38" s="1" t="n">
        <v>35</v>
      </c>
    </row>
    <row r="39" customFormat="false" ht="15" hidden="false" customHeight="true" outlineLevel="0" collapsed="false">
      <c r="B39" s="1" t="n">
        <v>36</v>
      </c>
    </row>
    <row r="40" customFormat="false" ht="15" hidden="false" customHeight="true" outlineLevel="0" collapsed="false">
      <c r="B40" s="1" t="n">
        <v>37</v>
      </c>
    </row>
    <row r="41" customFormat="false" ht="15" hidden="false" customHeight="true" outlineLevel="0" collapsed="false">
      <c r="B41" s="1" t="n">
        <v>38</v>
      </c>
    </row>
    <row r="42" customFormat="false" ht="15" hidden="false" customHeight="true" outlineLevel="0" collapsed="false">
      <c r="B42" s="1" t="n">
        <v>39</v>
      </c>
    </row>
    <row r="43" customFormat="false" ht="15" hidden="false" customHeight="true" outlineLevel="0" collapsed="false">
      <c r="B43" s="1" t="n">
        <v>40</v>
      </c>
    </row>
    <row r="44" customFormat="false" ht="15" hidden="false" customHeight="true" outlineLevel="0" collapsed="false">
      <c r="B44" s="1" t="n">
        <v>41</v>
      </c>
    </row>
    <row r="45" customFormat="false" ht="15" hidden="false" customHeight="true" outlineLevel="0" collapsed="false">
      <c r="B45" s="1" t="n">
        <v>42</v>
      </c>
    </row>
    <row r="46" customFormat="false" ht="15" hidden="false" customHeight="true" outlineLevel="0" collapsed="false">
      <c r="B46" s="1" t="n">
        <v>43</v>
      </c>
    </row>
    <row r="47" customFormat="false" ht="15" hidden="false" customHeight="true" outlineLevel="0" collapsed="false">
      <c r="B47" s="1" t="n">
        <v>44</v>
      </c>
    </row>
    <row r="48" customFormat="false" ht="15" hidden="false" customHeight="true" outlineLevel="0" collapsed="false">
      <c r="B48" s="1" t="n">
        <v>45</v>
      </c>
    </row>
    <row r="49" customFormat="false" ht="15" hidden="false" customHeight="true" outlineLevel="0" collapsed="false">
      <c r="B49" s="1" t="n">
        <v>46</v>
      </c>
    </row>
    <row r="50" customFormat="false" ht="15" hidden="false" customHeight="true" outlineLevel="0" collapsed="false">
      <c r="B50" s="1" t="n">
        <v>47</v>
      </c>
    </row>
    <row r="51" customFormat="false" ht="15" hidden="false" customHeight="true" outlineLevel="0" collapsed="false">
      <c r="B51" s="1" t="n">
        <v>48</v>
      </c>
    </row>
    <row r="52" customFormat="false" ht="15" hidden="false" customHeight="true" outlineLevel="0" collapsed="false">
      <c r="B52" s="1" t="n">
        <v>49</v>
      </c>
    </row>
    <row r="53" customFormat="false" ht="15" hidden="false" customHeight="true" outlineLevel="0" collapsed="false">
      <c r="B53" s="1" t="n">
        <v>50</v>
      </c>
    </row>
    <row r="54" customFormat="false" ht="15" hidden="false" customHeight="true" outlineLevel="0" collapsed="false">
      <c r="B54" s="1" t="n">
        <v>51</v>
      </c>
    </row>
    <row r="55" customFormat="false" ht="15" hidden="false" customHeight="true" outlineLevel="0" collapsed="false">
      <c r="B55" s="1" t="n">
        <v>52</v>
      </c>
    </row>
    <row r="56" customFormat="false" ht="15" hidden="false" customHeight="true" outlineLevel="0" collapsed="false">
      <c r="B56" s="1" t="n">
        <v>53</v>
      </c>
    </row>
    <row r="57" customFormat="false" ht="15" hidden="false" customHeight="true" outlineLevel="0" collapsed="false">
      <c r="B57" s="1" t="n">
        <v>54</v>
      </c>
    </row>
    <row r="58" customFormat="false" ht="15" hidden="false" customHeight="true" outlineLevel="0" collapsed="false">
      <c r="B58" s="1" t="n">
        <v>55</v>
      </c>
    </row>
    <row r="59" customFormat="false" ht="15" hidden="false" customHeight="true" outlineLevel="0" collapsed="false">
      <c r="B59" s="1" t="n">
        <v>56</v>
      </c>
    </row>
    <row r="60" customFormat="false" ht="15" hidden="false" customHeight="true" outlineLevel="0" collapsed="false">
      <c r="B60" s="1" t="n">
        <v>57</v>
      </c>
    </row>
    <row r="61" customFormat="false" ht="15" hidden="false" customHeight="true" outlineLevel="0" collapsed="false">
      <c r="B61" s="1" t="n">
        <v>58</v>
      </c>
    </row>
    <row r="62" customFormat="false" ht="15" hidden="false" customHeight="true" outlineLevel="0" collapsed="false">
      <c r="B62" s="1" t="n">
        <v>59</v>
      </c>
    </row>
    <row r="63" customFormat="false" ht="15" hidden="false" customHeight="true" outlineLevel="0" collapsed="false">
      <c r="B63" s="1" t="n">
        <v>60</v>
      </c>
    </row>
    <row r="64" customFormat="false" ht="15" hidden="false" customHeight="true" outlineLevel="0" collapsed="false">
      <c r="B64" s="1" t="n">
        <v>61</v>
      </c>
    </row>
    <row r="65" customFormat="false" ht="15" hidden="false" customHeight="true" outlineLevel="0" collapsed="false">
      <c r="B65" s="1" t="n">
        <v>62</v>
      </c>
    </row>
    <row r="66" customFormat="false" ht="15" hidden="false" customHeight="true" outlineLevel="0" collapsed="false">
      <c r="B66" s="1" t="n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481</v>
      </c>
      <c r="C1" s="1" t="s">
        <v>482</v>
      </c>
      <c r="D1" s="1" t="s">
        <v>483</v>
      </c>
      <c r="E1" s="1" t="s">
        <v>5</v>
      </c>
      <c r="F1" s="1" t="s">
        <v>70</v>
      </c>
      <c r="G1" s="1" t="s">
        <v>34</v>
      </c>
      <c r="H1" s="1" t="s">
        <v>484</v>
      </c>
      <c r="I1" s="1" t="s">
        <v>485</v>
      </c>
      <c r="O1" s="1" t="s">
        <v>327</v>
      </c>
      <c r="P1" s="1" t="s">
        <v>70</v>
      </c>
      <c r="Q1" s="1" t="s">
        <v>4</v>
      </c>
      <c r="R1" s="1" t="s">
        <v>5</v>
      </c>
      <c r="S1" s="1" t="s">
        <v>486</v>
      </c>
      <c r="T1" s="1" t="s">
        <v>487</v>
      </c>
      <c r="U1" s="1" t="s">
        <v>488</v>
      </c>
      <c r="V1" s="1" t="s">
        <v>485</v>
      </c>
    </row>
    <row r="2" customFormat="false" ht="15" hidden="false" customHeight="true" outlineLevel="0" collapsed="false">
      <c r="B2" s="1" t="n">
        <v>1</v>
      </c>
      <c r="C2" s="1" t="n">
        <v>20</v>
      </c>
      <c r="E2" s="1" t="s">
        <v>66</v>
      </c>
    </row>
    <row r="3" customFormat="false" ht="15" hidden="false" customHeight="true" outlineLevel="0" collapsed="false">
      <c r="B3" s="1" t="n">
        <v>2</v>
      </c>
      <c r="C3" s="1" t="n">
        <v>21</v>
      </c>
      <c r="E3" s="1" t="s">
        <v>489</v>
      </c>
    </row>
    <row r="4" customFormat="false" ht="15" hidden="false" customHeight="true" outlineLevel="0" collapsed="false">
      <c r="B4" s="1" t="n">
        <v>3</v>
      </c>
      <c r="C4" s="1" t="n">
        <v>22</v>
      </c>
      <c r="E4" s="1" t="s">
        <v>490</v>
      </c>
    </row>
    <row r="5" customFormat="false" ht="15" hidden="false" customHeight="true" outlineLevel="0" collapsed="false">
      <c r="B5" s="1" t="n">
        <v>4</v>
      </c>
      <c r="C5" s="1" t="n">
        <v>23</v>
      </c>
      <c r="E5" s="1" t="s">
        <v>491</v>
      </c>
    </row>
    <row r="6" customFormat="false" ht="15" hidden="false" customHeight="true" outlineLevel="0" collapsed="false">
      <c r="B6" s="1" t="n">
        <v>5</v>
      </c>
      <c r="C6" s="1" t="n">
        <v>24</v>
      </c>
      <c r="E6" s="1" t="s">
        <v>492</v>
      </c>
    </row>
    <row r="7" customFormat="false" ht="15" hidden="false" customHeight="true" outlineLevel="0" collapsed="false">
      <c r="B7" s="1" t="n">
        <v>6</v>
      </c>
      <c r="C7" s="1" t="n">
        <v>25</v>
      </c>
      <c r="E7" s="1" t="s">
        <v>493</v>
      </c>
      <c r="O7" s="1" t="n">
        <v>2</v>
      </c>
    </row>
    <row r="8" customFormat="false" ht="15" hidden="false" customHeight="true" outlineLevel="0" collapsed="false">
      <c r="A8" s="1" t="s">
        <v>494</v>
      </c>
      <c r="C8" s="1" t="s">
        <v>482</v>
      </c>
      <c r="D8" s="1" t="s">
        <v>483</v>
      </c>
      <c r="E8" s="1" t="s">
        <v>5</v>
      </c>
      <c r="F8" s="1" t="s">
        <v>70</v>
      </c>
      <c r="G8" s="1" t="s">
        <v>34</v>
      </c>
      <c r="H8" s="1" t="s">
        <v>484</v>
      </c>
      <c r="I8" s="1" t="s">
        <v>485</v>
      </c>
      <c r="O8" s="1" t="n">
        <v>3</v>
      </c>
    </row>
    <row r="9" customFormat="false" ht="15" hidden="false" customHeight="true" outlineLevel="0" collapsed="false">
      <c r="B9" s="1" t="n">
        <v>1</v>
      </c>
      <c r="C9" s="1" t="n">
        <v>4</v>
      </c>
      <c r="O9" s="1" t="n">
        <v>4</v>
      </c>
    </row>
    <row r="10" customFormat="false" ht="15" hidden="false" customHeight="true" outlineLevel="0" collapsed="false">
      <c r="B10" s="1" t="n">
        <v>2</v>
      </c>
      <c r="C10" s="1" t="n">
        <v>6</v>
      </c>
      <c r="O10" s="1" t="n">
        <v>5</v>
      </c>
    </row>
    <row r="11" customFormat="false" ht="15" hidden="false" customHeight="true" outlineLevel="0" collapsed="false">
      <c r="B11" s="1" t="n">
        <v>3</v>
      </c>
      <c r="C11" s="1" t="n">
        <v>9</v>
      </c>
      <c r="O11" s="1" t="n">
        <v>6</v>
      </c>
    </row>
    <row r="12" customFormat="false" ht="15" hidden="false" customHeight="true" outlineLevel="0" collapsed="false">
      <c r="B12" s="1" t="n">
        <v>4</v>
      </c>
      <c r="O12" s="1" t="n">
        <v>7</v>
      </c>
    </row>
    <row r="13" customFormat="false" ht="15" hidden="false" customHeight="true" outlineLevel="0" collapsed="false">
      <c r="B13" s="1" t="n">
        <v>5</v>
      </c>
      <c r="O13" s="1" t="n">
        <v>8</v>
      </c>
    </row>
    <row r="14" customFormat="false" ht="15" hidden="false" customHeight="true" outlineLevel="0" collapsed="false">
      <c r="B14" s="1" t="n">
        <v>6</v>
      </c>
      <c r="O14" s="1" t="n">
        <v>9</v>
      </c>
    </row>
    <row r="15" customFormat="false" ht="15" hidden="false" customHeight="true" outlineLevel="0" collapsed="false">
      <c r="A15" s="1" t="s">
        <v>495</v>
      </c>
      <c r="C15" s="1" t="s">
        <v>482</v>
      </c>
      <c r="D15" s="1" t="s">
        <v>483</v>
      </c>
      <c r="E15" s="1" t="s">
        <v>5</v>
      </c>
      <c r="F15" s="1" t="s">
        <v>70</v>
      </c>
      <c r="G15" s="1" t="s">
        <v>34</v>
      </c>
      <c r="H15" s="1" t="s">
        <v>484</v>
      </c>
      <c r="I15" s="1" t="s">
        <v>485</v>
      </c>
      <c r="O15" s="1" t="n">
        <v>10</v>
      </c>
    </row>
    <row r="16" customFormat="false" ht="15" hidden="false" customHeight="true" outlineLevel="0" collapsed="false">
      <c r="B16" s="1" t="n">
        <v>1</v>
      </c>
      <c r="C16" s="1" t="n">
        <v>10</v>
      </c>
      <c r="O16" s="1" t="n">
        <v>11</v>
      </c>
    </row>
    <row r="17" customFormat="false" ht="15" hidden="false" customHeight="true" outlineLevel="0" collapsed="false">
      <c r="B17" s="1" t="n">
        <v>2</v>
      </c>
      <c r="C17" s="1" t="n">
        <v>14</v>
      </c>
      <c r="O17" s="1" t="n">
        <v>12</v>
      </c>
    </row>
    <row r="18" customFormat="false" ht="15" hidden="false" customHeight="true" outlineLevel="0" collapsed="false">
      <c r="B18" s="1" t="n">
        <v>3</v>
      </c>
      <c r="C18" s="1" t="n">
        <v>5</v>
      </c>
      <c r="O18" s="1" t="n">
        <v>13</v>
      </c>
    </row>
    <row r="19" customFormat="false" ht="15" hidden="false" customHeight="true" outlineLevel="0" collapsed="false">
      <c r="B19" s="1" t="n">
        <v>4</v>
      </c>
      <c r="C19" s="1" t="n">
        <v>7</v>
      </c>
      <c r="O19" s="1" t="n">
        <v>14</v>
      </c>
    </row>
    <row r="20" customFormat="false" ht="15" hidden="false" customHeight="true" outlineLevel="0" collapsed="false">
      <c r="B20" s="1" t="n">
        <v>5</v>
      </c>
      <c r="C20" s="1" t="n">
        <v>8</v>
      </c>
      <c r="O20" s="1" t="n">
        <v>15</v>
      </c>
    </row>
    <row r="21" customFormat="false" ht="15" hidden="false" customHeight="true" outlineLevel="0" collapsed="false">
      <c r="B21" s="1" t="n">
        <v>6</v>
      </c>
      <c r="C21" s="1" t="n">
        <v>11</v>
      </c>
      <c r="O21" s="1" t="n">
        <v>16</v>
      </c>
    </row>
    <row r="22" customFormat="false" ht="15" hidden="false" customHeight="true" outlineLevel="0" collapsed="false">
      <c r="A22" s="1" t="s">
        <v>496</v>
      </c>
      <c r="C22" s="1" t="s">
        <v>482</v>
      </c>
      <c r="D22" s="1" t="s">
        <v>483</v>
      </c>
      <c r="E22" s="1" t="s">
        <v>5</v>
      </c>
      <c r="F22" s="1" t="s">
        <v>70</v>
      </c>
      <c r="G22" s="1" t="s">
        <v>34</v>
      </c>
      <c r="H22" s="1" t="s">
        <v>484</v>
      </c>
      <c r="I22" s="1" t="s">
        <v>485</v>
      </c>
      <c r="O22" s="1" t="n">
        <v>17</v>
      </c>
    </row>
    <row r="23" customFormat="false" ht="15" hidden="false" customHeight="true" outlineLevel="0" collapsed="false">
      <c r="B23" s="1" t="n">
        <v>1</v>
      </c>
      <c r="C23" s="1" t="n">
        <v>15</v>
      </c>
      <c r="O23" s="1" t="n">
        <v>18</v>
      </c>
    </row>
    <row r="24" customFormat="false" ht="15" hidden="false" customHeight="true" outlineLevel="0" collapsed="false">
      <c r="B24" s="1" t="n">
        <v>2</v>
      </c>
      <c r="C24" s="1" t="n">
        <v>16</v>
      </c>
      <c r="O24" s="1" t="n">
        <v>19</v>
      </c>
    </row>
    <row r="25" customFormat="false" ht="15" hidden="false" customHeight="true" outlineLevel="0" collapsed="false">
      <c r="B25" s="1" t="n">
        <v>3</v>
      </c>
      <c r="O25" s="1" t="n">
        <v>20</v>
      </c>
    </row>
    <row r="26" customFormat="false" ht="15" hidden="false" customHeight="true" outlineLevel="0" collapsed="false">
      <c r="B26" s="1" t="n">
        <v>4</v>
      </c>
      <c r="O26" s="1" t="n">
        <v>21</v>
      </c>
    </row>
    <row r="27" customFormat="false" ht="15" hidden="false" customHeight="true" outlineLevel="0" collapsed="false">
      <c r="A27" s="1" t="s">
        <v>497</v>
      </c>
      <c r="C27" s="1" t="s">
        <v>482</v>
      </c>
      <c r="D27" s="1" t="s">
        <v>483</v>
      </c>
      <c r="E27" s="1" t="s">
        <v>5</v>
      </c>
      <c r="F27" s="1" t="s">
        <v>70</v>
      </c>
      <c r="G27" s="1" t="s">
        <v>34</v>
      </c>
      <c r="H27" s="1" t="s">
        <v>484</v>
      </c>
      <c r="I27" s="1" t="s">
        <v>485</v>
      </c>
      <c r="O27" s="1" t="n">
        <v>22</v>
      </c>
    </row>
    <row r="28" customFormat="false" ht="15" hidden="false" customHeight="true" outlineLevel="0" collapsed="false">
      <c r="B28" s="1" t="n">
        <v>1</v>
      </c>
      <c r="C28" s="1" t="n">
        <v>17</v>
      </c>
      <c r="O28" s="1" t="n">
        <v>23</v>
      </c>
    </row>
    <row r="29" customFormat="false" ht="15" hidden="false" customHeight="true" outlineLevel="0" collapsed="false">
      <c r="B29" s="1" t="n">
        <v>2</v>
      </c>
      <c r="C29" s="1" t="n">
        <v>18</v>
      </c>
      <c r="O29" s="1" t="n">
        <v>24</v>
      </c>
    </row>
    <row r="30" customFormat="false" ht="15" hidden="false" customHeight="true" outlineLevel="0" collapsed="false">
      <c r="B30" s="1" t="n">
        <v>3</v>
      </c>
      <c r="L30" s="1" t="s">
        <v>279</v>
      </c>
      <c r="O30" s="1" t="n">
        <v>25</v>
      </c>
    </row>
    <row r="31" customFormat="false" ht="15" hidden="false" customHeight="true" outlineLevel="0" collapsed="false">
      <c r="B31" s="1" t="n">
        <v>4</v>
      </c>
      <c r="O31" s="1" t="n">
        <v>26</v>
      </c>
    </row>
    <row r="32" customFormat="false" ht="15" hidden="false" customHeight="true" outlineLevel="0" collapsed="false">
      <c r="A32" s="1" t="s">
        <v>498</v>
      </c>
      <c r="B32" s="1" t="s">
        <v>482</v>
      </c>
      <c r="C32" s="1" t="s">
        <v>486</v>
      </c>
      <c r="D32" s="1" t="s">
        <v>483</v>
      </c>
      <c r="E32" s="1" t="s">
        <v>5</v>
      </c>
      <c r="F32" s="1" t="s">
        <v>70</v>
      </c>
      <c r="G32" s="1" t="s">
        <v>34</v>
      </c>
      <c r="H32" s="1" t="s">
        <v>499</v>
      </c>
      <c r="I32" s="1" t="s">
        <v>484</v>
      </c>
      <c r="J32" s="1" t="s">
        <v>500</v>
      </c>
      <c r="K32" s="1" t="s">
        <v>501</v>
      </c>
      <c r="L32" s="1" t="s">
        <v>502</v>
      </c>
      <c r="M32" s="1" t="s">
        <v>503</v>
      </c>
      <c r="N32" s="1" t="s">
        <v>504</v>
      </c>
      <c r="O32" s="1" t="n">
        <v>27</v>
      </c>
    </row>
    <row r="33" customFormat="false" ht="15" hidden="false" customHeight="true" outlineLevel="0" collapsed="false">
      <c r="B33" s="1" t="n">
        <v>2</v>
      </c>
      <c r="C33" s="1" t="s">
        <v>505</v>
      </c>
      <c r="F33" s="1" t="n">
        <v>3</v>
      </c>
      <c r="G33" s="1" t="n">
        <v>44381</v>
      </c>
      <c r="H33" s="1" t="n">
        <v>0</v>
      </c>
      <c r="I33" s="1" t="s">
        <v>506</v>
      </c>
      <c r="K33" s="1" t="n">
        <v>30</v>
      </c>
      <c r="O33" s="1" t="n">
        <v>28</v>
      </c>
    </row>
    <row r="34" customFormat="false" ht="15" hidden="false" customHeight="true" outlineLevel="0" collapsed="false">
      <c r="B34" s="1" t="n">
        <v>3</v>
      </c>
      <c r="C34" s="1" t="s">
        <v>505</v>
      </c>
      <c r="F34" s="1" t="n">
        <v>10</v>
      </c>
      <c r="G34" s="1" t="n">
        <v>44387</v>
      </c>
      <c r="H34" s="1" t="n">
        <v>0</v>
      </c>
      <c r="I34" s="1" t="s">
        <v>507</v>
      </c>
      <c r="K34" s="1" t="n">
        <v>30</v>
      </c>
      <c r="O34" s="1" t="n">
        <v>29</v>
      </c>
    </row>
    <row r="35" customFormat="false" ht="15" hidden="false" customHeight="true" outlineLevel="0" collapsed="false">
      <c r="B35" s="1" t="n">
        <v>4</v>
      </c>
      <c r="C35" s="1" t="s">
        <v>494</v>
      </c>
      <c r="F35" s="1" t="n">
        <v>5</v>
      </c>
      <c r="G35" s="1" t="n">
        <v>44392</v>
      </c>
      <c r="H35" s="1" t="n">
        <v>1</v>
      </c>
      <c r="I35" s="1" t="s">
        <v>508</v>
      </c>
      <c r="K35" s="1" t="n">
        <v>30</v>
      </c>
      <c r="O35" s="1" t="n">
        <v>30</v>
      </c>
    </row>
    <row r="36" customFormat="false" ht="15" hidden="false" customHeight="true" outlineLevel="0" collapsed="false">
      <c r="B36" s="1" t="n">
        <v>5</v>
      </c>
      <c r="C36" s="1" t="s">
        <v>505</v>
      </c>
      <c r="D36" s="1" t="s">
        <v>509</v>
      </c>
      <c r="E36" s="1" t="s">
        <v>510</v>
      </c>
      <c r="G36" s="1" t="n">
        <v>44554</v>
      </c>
      <c r="H36" s="1" t="n">
        <v>1</v>
      </c>
      <c r="I36" s="1" t="s">
        <v>511</v>
      </c>
      <c r="K36" s="1" t="n">
        <v>30</v>
      </c>
      <c r="O36" s="1" t="n">
        <v>31</v>
      </c>
    </row>
    <row r="37" customFormat="false" ht="15" hidden="false" customHeight="true" outlineLevel="0" collapsed="false">
      <c r="B37" s="1" t="n">
        <v>6</v>
      </c>
      <c r="C37" s="1" t="s">
        <v>494</v>
      </c>
      <c r="E37" s="1" t="s">
        <v>512</v>
      </c>
      <c r="G37" s="1" t="n">
        <v>44554</v>
      </c>
      <c r="H37" s="1" t="n">
        <v>1</v>
      </c>
      <c r="I37" s="1" t="s">
        <v>513</v>
      </c>
      <c r="K37" s="1" t="n">
        <v>30</v>
      </c>
      <c r="O37" s="1" t="n">
        <v>32</v>
      </c>
    </row>
    <row r="38" customFormat="false" ht="15" hidden="false" customHeight="true" outlineLevel="0" collapsed="false">
      <c r="B38" s="1" t="n">
        <v>7</v>
      </c>
      <c r="C38" s="1" t="s">
        <v>505</v>
      </c>
      <c r="E38" s="1" t="s">
        <v>489</v>
      </c>
      <c r="G38" s="1" t="n">
        <v>44554</v>
      </c>
      <c r="H38" s="1" t="n">
        <v>0</v>
      </c>
      <c r="I38" s="1" t="s">
        <v>514</v>
      </c>
      <c r="J38" s="1" t="s">
        <v>515</v>
      </c>
      <c r="K38" s="1" t="n">
        <v>30</v>
      </c>
      <c r="O38" s="1" t="n">
        <v>33</v>
      </c>
    </row>
    <row r="39" customFormat="false" ht="15" hidden="false" customHeight="true" outlineLevel="0" collapsed="false">
      <c r="B39" s="1" t="n">
        <v>8</v>
      </c>
      <c r="C39" s="1" t="s">
        <v>495</v>
      </c>
      <c r="D39" s="1" t="s">
        <v>516</v>
      </c>
      <c r="E39" s="1" t="s">
        <v>517</v>
      </c>
      <c r="G39" s="1" t="n">
        <v>44621</v>
      </c>
      <c r="H39" s="1" t="n">
        <v>1</v>
      </c>
      <c r="I39" s="1" t="s">
        <v>518</v>
      </c>
      <c r="K39" s="1" t="n">
        <v>30</v>
      </c>
    </row>
    <row r="40" customFormat="false" ht="15" hidden="false" customHeight="true" outlineLevel="0" collapsed="false">
      <c r="B40" s="1" t="n">
        <v>9</v>
      </c>
      <c r="C40" s="1" t="s">
        <v>494</v>
      </c>
      <c r="E40" s="1" t="s">
        <v>519</v>
      </c>
      <c r="G40" s="1" t="n">
        <v>44621</v>
      </c>
      <c r="H40" s="1" t="n">
        <v>1</v>
      </c>
      <c r="I40" s="1" t="s">
        <v>520</v>
      </c>
      <c r="K40" s="1" t="n">
        <v>30</v>
      </c>
    </row>
    <row r="41" customFormat="false" ht="15" hidden="false" customHeight="true" outlineLevel="0" collapsed="false">
      <c r="B41" s="1" t="n">
        <v>10</v>
      </c>
      <c r="C41" s="1" t="s">
        <v>495</v>
      </c>
      <c r="D41" s="1" t="s">
        <v>521</v>
      </c>
      <c r="E41" s="1" t="s">
        <v>522</v>
      </c>
      <c r="G41" s="1" t="n">
        <v>44652</v>
      </c>
      <c r="H41" s="1" t="n">
        <v>1</v>
      </c>
      <c r="I41" s="1" t="s">
        <v>523</v>
      </c>
      <c r="K41" s="1" t="n">
        <v>30</v>
      </c>
    </row>
    <row r="42" customFormat="false" ht="15" hidden="false" customHeight="true" outlineLevel="0" collapsed="false">
      <c r="B42" s="1" t="n">
        <v>11</v>
      </c>
      <c r="C42" s="1" t="s">
        <v>495</v>
      </c>
      <c r="E42" s="1" t="s">
        <v>524</v>
      </c>
      <c r="G42" s="1" t="n">
        <v>44713</v>
      </c>
      <c r="H42" s="1" t="n">
        <v>1</v>
      </c>
      <c r="I42" s="1" t="s">
        <v>525</v>
      </c>
      <c r="K42" s="1" t="n">
        <v>30</v>
      </c>
    </row>
    <row r="43" customFormat="false" ht="15" hidden="false" customHeight="true" outlineLevel="0" collapsed="false">
      <c r="B43" s="1" t="n">
        <v>12</v>
      </c>
      <c r="C43" s="1" t="s">
        <v>495</v>
      </c>
      <c r="D43" s="1" t="s">
        <v>526</v>
      </c>
      <c r="E43" s="1" t="s">
        <v>527</v>
      </c>
      <c r="F43" s="1" t="n">
        <v>10</v>
      </c>
      <c r="G43" s="1" t="n">
        <v>44621</v>
      </c>
      <c r="H43" s="1" t="n">
        <v>0</v>
      </c>
      <c r="J43" s="1" t="s">
        <v>528</v>
      </c>
      <c r="K43" s="1" t="n">
        <v>30</v>
      </c>
    </row>
    <row r="44" customFormat="false" ht="15" hidden="false" customHeight="true" outlineLevel="0" collapsed="false">
      <c r="B44" s="1" t="n">
        <v>13</v>
      </c>
      <c r="C44" s="1" t="s">
        <v>495</v>
      </c>
      <c r="F44" s="1" t="n">
        <v>3</v>
      </c>
      <c r="G44" s="1" t="n">
        <v>44501</v>
      </c>
      <c r="H44" s="1" t="n">
        <v>0</v>
      </c>
      <c r="J44" s="1" t="s">
        <v>529</v>
      </c>
      <c r="K44" s="1" t="n">
        <v>30</v>
      </c>
    </row>
    <row r="45" customFormat="false" ht="15" hidden="false" customHeight="true" outlineLevel="0" collapsed="false">
      <c r="B45" s="1" t="n">
        <v>14</v>
      </c>
      <c r="C45" s="1" t="s">
        <v>495</v>
      </c>
      <c r="F45" s="1" t="n">
        <v>9</v>
      </c>
      <c r="G45" s="1" t="n">
        <v>44562</v>
      </c>
      <c r="H45" s="1" t="n">
        <v>1</v>
      </c>
      <c r="I45" s="1" t="s">
        <v>530</v>
      </c>
      <c r="K45" s="1" t="n">
        <v>30</v>
      </c>
    </row>
    <row r="46" customFormat="false" ht="15" hidden="false" customHeight="true" outlineLevel="0" collapsed="false">
      <c r="B46" s="1" t="n">
        <v>15</v>
      </c>
      <c r="C46" s="1" t="s">
        <v>496</v>
      </c>
      <c r="D46" s="1" t="s">
        <v>531</v>
      </c>
      <c r="E46" s="1" t="s">
        <v>532</v>
      </c>
      <c r="G46" s="1" t="n">
        <v>44621</v>
      </c>
      <c r="H46" s="1" t="n">
        <v>1</v>
      </c>
      <c r="I46" s="1" t="s">
        <v>533</v>
      </c>
      <c r="K46" s="1" t="n">
        <v>30</v>
      </c>
    </row>
    <row r="47" customFormat="false" ht="15" hidden="false" customHeight="true" outlineLevel="0" collapsed="false">
      <c r="B47" s="1" t="n">
        <v>16</v>
      </c>
      <c r="C47" s="1" t="s">
        <v>496</v>
      </c>
      <c r="D47" s="1" t="s">
        <v>534</v>
      </c>
      <c r="E47" s="1" t="s">
        <v>535</v>
      </c>
      <c r="G47" s="1" t="n">
        <v>44621</v>
      </c>
      <c r="H47" s="1" t="n">
        <v>1</v>
      </c>
      <c r="I47" s="1" t="s">
        <v>536</v>
      </c>
      <c r="K47" s="1" t="n">
        <v>30</v>
      </c>
    </row>
    <row r="48" customFormat="false" ht="15" hidden="false" customHeight="true" outlineLevel="0" collapsed="false">
      <c r="B48" s="1" t="n">
        <v>17</v>
      </c>
      <c r="C48" s="1" t="s">
        <v>497</v>
      </c>
      <c r="F48" s="1" t="n">
        <v>11</v>
      </c>
      <c r="G48" s="1" t="n">
        <v>44387</v>
      </c>
      <c r="H48" s="1" t="n">
        <v>1</v>
      </c>
      <c r="I48" s="1" t="s">
        <v>537</v>
      </c>
      <c r="K48" s="1" t="n">
        <v>30</v>
      </c>
    </row>
    <row r="49" customFormat="false" ht="15" hidden="false" customHeight="true" outlineLevel="0" collapsed="false">
      <c r="B49" s="1" t="n">
        <v>18</v>
      </c>
      <c r="C49" s="1" t="s">
        <v>497</v>
      </c>
      <c r="F49" s="1" t="n">
        <v>5</v>
      </c>
      <c r="G49" s="1" t="n">
        <v>44562</v>
      </c>
      <c r="H49" s="1" t="n">
        <v>1</v>
      </c>
      <c r="I49" s="1" t="s">
        <v>538</v>
      </c>
      <c r="K49" s="1" t="n">
        <v>30</v>
      </c>
    </row>
    <row r="50" customFormat="false" ht="15" hidden="false" customHeight="true" outlineLevel="0" collapsed="false">
      <c r="B50" s="1" t="n">
        <v>19</v>
      </c>
      <c r="C50" s="1" t="s">
        <v>539</v>
      </c>
      <c r="F50" s="1" t="n">
        <v>2</v>
      </c>
      <c r="G50" s="1" t="n">
        <v>43988</v>
      </c>
      <c r="H50" s="1" t="n">
        <v>0</v>
      </c>
      <c r="I50" s="1" t="s">
        <v>540</v>
      </c>
      <c r="J50" s="1" t="s">
        <v>541</v>
      </c>
      <c r="K50" s="1" t="n">
        <v>240</v>
      </c>
    </row>
    <row r="51" customFormat="false" ht="15" hidden="false" customHeight="true" outlineLevel="0" collapsed="false">
      <c r="B51" s="1" t="n">
        <v>20</v>
      </c>
      <c r="C51" s="1" t="s">
        <v>481</v>
      </c>
      <c r="F51" s="1" t="n">
        <v>2</v>
      </c>
      <c r="G51" s="1" t="n">
        <v>43988</v>
      </c>
      <c r="H51" s="1" t="n">
        <v>1</v>
      </c>
      <c r="I51" s="1" t="s">
        <v>542</v>
      </c>
      <c r="K51" s="1" t="n">
        <v>30</v>
      </c>
    </row>
    <row r="52" customFormat="false" ht="15" hidden="false" customHeight="true" outlineLevel="0" collapsed="false">
      <c r="B52" s="1" t="n">
        <v>21</v>
      </c>
      <c r="C52" s="1" t="s">
        <v>481</v>
      </c>
      <c r="E52" s="1" t="s">
        <v>489</v>
      </c>
      <c r="G52" s="1" t="n">
        <v>44927</v>
      </c>
      <c r="H52" s="1" t="n">
        <v>1</v>
      </c>
      <c r="I52" s="1" t="s">
        <v>542</v>
      </c>
      <c r="K52" s="1" t="n">
        <v>30</v>
      </c>
    </row>
    <row r="53" customFormat="false" ht="15" hidden="false" customHeight="true" outlineLevel="0" collapsed="false">
      <c r="B53" s="1" t="n">
        <v>22</v>
      </c>
      <c r="C53" s="1" t="s">
        <v>481</v>
      </c>
      <c r="E53" s="1" t="s">
        <v>490</v>
      </c>
      <c r="G53" s="1" t="n">
        <v>44927</v>
      </c>
      <c r="H53" s="1" t="n">
        <v>1</v>
      </c>
      <c r="I53" s="1" t="s">
        <v>542</v>
      </c>
      <c r="J53" s="1" t="s">
        <v>543</v>
      </c>
      <c r="K53" s="1" t="n">
        <v>30</v>
      </c>
    </row>
    <row r="54" customFormat="false" ht="15" hidden="false" customHeight="true" outlineLevel="0" collapsed="false">
      <c r="B54" s="1" t="n">
        <v>23</v>
      </c>
      <c r="C54" s="1" t="s">
        <v>481</v>
      </c>
      <c r="E54" s="1" t="s">
        <v>491</v>
      </c>
      <c r="G54" s="1" t="n">
        <v>44927</v>
      </c>
      <c r="H54" s="1" t="n">
        <v>1</v>
      </c>
      <c r="I54" s="1" t="s">
        <v>542</v>
      </c>
      <c r="K54" s="1" t="n">
        <v>30</v>
      </c>
    </row>
    <row r="55" customFormat="false" ht="15" hidden="false" customHeight="true" outlineLevel="0" collapsed="false">
      <c r="B55" s="1" t="n">
        <v>24</v>
      </c>
      <c r="C55" s="1" t="s">
        <v>481</v>
      </c>
      <c r="E55" s="1" t="s">
        <v>492</v>
      </c>
      <c r="G55" s="1" t="n">
        <v>44927</v>
      </c>
      <c r="H55" s="1" t="n">
        <v>1</v>
      </c>
      <c r="I55" s="1" t="s">
        <v>542</v>
      </c>
      <c r="K55" s="1" t="n">
        <v>30</v>
      </c>
    </row>
    <row r="56" customFormat="false" ht="15" hidden="false" customHeight="true" outlineLevel="0" collapsed="false">
      <c r="B56" s="1" t="n">
        <v>25</v>
      </c>
      <c r="C56" s="1" t="s">
        <v>481</v>
      </c>
      <c r="E56" s="1" t="s">
        <v>493</v>
      </c>
      <c r="G56" s="1" t="n">
        <v>44927</v>
      </c>
      <c r="H56" s="1" t="n">
        <v>1</v>
      </c>
      <c r="I56" s="1" t="s">
        <v>542</v>
      </c>
      <c r="K56" s="1" t="n">
        <v>30</v>
      </c>
    </row>
    <row r="57" customFormat="false" ht="15" hidden="false" customHeight="true" outlineLevel="0" collapsed="false">
      <c r="B57" s="1" t="n">
        <v>26</v>
      </c>
      <c r="C57" s="1" t="s">
        <v>481</v>
      </c>
      <c r="E57" s="1" t="s">
        <v>493</v>
      </c>
      <c r="G57" s="1" t="n">
        <v>45078</v>
      </c>
      <c r="H57" s="1" t="n">
        <v>0</v>
      </c>
      <c r="J57" s="1" t="s">
        <v>544</v>
      </c>
    </row>
    <row r="58" customFormat="false" ht="15" hidden="false" customHeight="true" outlineLevel="0" collapsed="false">
      <c r="B58" s="1" t="n">
        <v>27</v>
      </c>
      <c r="E58" s="1" t="s">
        <v>491</v>
      </c>
      <c r="G58" s="1" t="n">
        <v>45078</v>
      </c>
      <c r="H58" s="1" t="n">
        <v>0</v>
      </c>
      <c r="J58" s="1" t="s">
        <v>544</v>
      </c>
    </row>
    <row r="59" customFormat="false" ht="15" hidden="false" customHeight="true" outlineLevel="0" collapsed="false">
      <c r="B59" s="1" t="n">
        <v>28</v>
      </c>
    </row>
    <row r="60" customFormat="false" ht="15" hidden="false" customHeight="true" outlineLevel="0" collapsed="false">
      <c r="B60" s="1" t="n">
        <v>29</v>
      </c>
    </row>
    <row r="61" customFormat="false" ht="15" hidden="false" customHeight="true" outlineLevel="0" collapsed="false">
      <c r="B61" s="1" t="n">
        <v>30</v>
      </c>
    </row>
    <row r="62" customFormat="false" ht="15" hidden="false" customHeight="true" outlineLevel="0" collapsed="false">
      <c r="B62" s="1" t="n">
        <v>31</v>
      </c>
    </row>
    <row r="63" customFormat="false" ht="15" hidden="false" customHeight="true" outlineLevel="0" collapsed="false">
      <c r="B63" s="1" t="n">
        <v>32</v>
      </c>
    </row>
    <row r="64" customFormat="false" ht="15" hidden="false" customHeight="true" outlineLevel="0" collapsed="false">
      <c r="B64" s="1" t="n">
        <v>33</v>
      </c>
    </row>
    <row r="65" customFormat="false" ht="15" hidden="false" customHeight="true" outlineLevel="0" collapsed="false">
      <c r="B65" s="1" t="n">
        <v>34</v>
      </c>
    </row>
    <row r="66" customFormat="false" ht="15" hidden="false" customHeight="true" outlineLevel="0" collapsed="false">
      <c r="B66" s="1" t="n">
        <v>35</v>
      </c>
    </row>
    <row r="67" customFormat="false" ht="15" hidden="false" customHeight="true" outlineLevel="0" collapsed="false">
      <c r="B67" s="1" t="n">
        <v>36</v>
      </c>
    </row>
    <row r="68" customFormat="false" ht="15" hidden="false" customHeight="true" outlineLevel="0" collapsed="false">
      <c r="B68" s="1" t="n">
        <v>37</v>
      </c>
    </row>
    <row r="69" customFormat="false" ht="15" hidden="false" customHeight="true" outlineLevel="0" collapsed="false">
      <c r="B69" s="1" t="n">
        <v>38</v>
      </c>
    </row>
    <row r="70" customFormat="false" ht="15" hidden="false" customHeight="true" outlineLevel="0" collapsed="false">
      <c r="B70" s="1" t="n">
        <v>39</v>
      </c>
    </row>
    <row r="71" customFormat="false" ht="15" hidden="false" customHeight="true" outlineLevel="0" collapsed="false">
      <c r="B71" s="1" t="n">
        <v>40</v>
      </c>
    </row>
    <row r="72" customFormat="false" ht="15" hidden="false" customHeight="true" outlineLevel="0" collapsed="false">
      <c r="B72" s="1" t="n">
        <v>41</v>
      </c>
    </row>
    <row r="73" customFormat="false" ht="15" hidden="false" customHeight="true" outlineLevel="0" collapsed="false">
      <c r="B73" s="1" t="n">
        <v>42</v>
      </c>
    </row>
    <row r="74" customFormat="false" ht="15" hidden="false" customHeight="true" outlineLevel="0" collapsed="false">
      <c r="B74" s="1" t="n">
        <v>43</v>
      </c>
    </row>
    <row r="75" customFormat="false" ht="15" hidden="false" customHeight="true" outlineLevel="0" collapsed="false">
      <c r="B75" s="1" t="n">
        <v>44</v>
      </c>
    </row>
    <row r="76" customFormat="false" ht="15" hidden="false" customHeight="true" outlineLevel="0" collapsed="false">
      <c r="B76" s="1" t="n">
        <v>45</v>
      </c>
    </row>
    <row r="77" customFormat="false" ht="15" hidden="false" customHeight="true" outlineLevel="0" collapsed="false">
      <c r="B77" s="1" t="n">
        <v>46</v>
      </c>
    </row>
    <row r="78" customFormat="false" ht="15" hidden="false" customHeight="true" outlineLevel="0" collapsed="false">
      <c r="B78" s="1" t="n">
        <v>47</v>
      </c>
    </row>
    <row r="79" customFormat="false" ht="15" hidden="false" customHeight="true" outlineLevel="0" collapsed="false">
      <c r="B79" s="1" t="n">
        <v>48</v>
      </c>
    </row>
    <row r="80" customFormat="false" ht="15" hidden="false" customHeight="true" outlineLevel="0" collapsed="false">
      <c r="B80" s="1" t="n">
        <v>49</v>
      </c>
    </row>
    <row r="81" customFormat="false" ht="15" hidden="false" customHeight="true" outlineLevel="0" collapsed="false">
      <c r="B81" s="1" t="n">
        <v>50</v>
      </c>
    </row>
    <row r="82" customFormat="false" ht="15" hidden="false" customHeight="true" outlineLevel="0" collapsed="false">
      <c r="B82" s="1" t="n">
        <v>51</v>
      </c>
    </row>
    <row r="83" customFormat="false" ht="15" hidden="false" customHeight="true" outlineLevel="0" collapsed="false">
      <c r="B83" s="1" t="n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545</v>
      </c>
      <c r="B1" s="1" t="s">
        <v>546</v>
      </c>
      <c r="C1" s="1" t="s">
        <v>547</v>
      </c>
      <c r="D1" s="1" t="s">
        <v>548</v>
      </c>
    </row>
    <row r="2" customFormat="false" ht="15" hidden="false" customHeight="true" outlineLevel="0" collapsed="false">
      <c r="A2" s="1" t="n">
        <v>1</v>
      </c>
      <c r="C2" s="1" t="n">
        <v>1</v>
      </c>
    </row>
    <row r="3" customFormat="false" ht="15" hidden="false" customHeight="true" outlineLevel="0" collapsed="false">
      <c r="A3" s="1" t="n">
        <v>2</v>
      </c>
      <c r="B3" s="1" t="n">
        <v>1</v>
      </c>
      <c r="D3" s="1" t="s">
        <v>549</v>
      </c>
    </row>
    <row r="4" customFormat="false" ht="15" hidden="false" customHeight="true" outlineLevel="0" collapsed="false">
      <c r="A4" s="1" t="n">
        <v>3</v>
      </c>
      <c r="C4" s="1" t="n">
        <v>3</v>
      </c>
    </row>
    <row r="5" customFormat="false" ht="15" hidden="false" customHeight="true" outlineLevel="0" collapsed="false">
      <c r="A5" s="1" t="n">
        <v>4</v>
      </c>
      <c r="B5" s="1" t="n">
        <v>1</v>
      </c>
    </row>
    <row r="6" customFormat="false" ht="15" hidden="false" customHeight="true" outlineLevel="0" collapsed="false">
      <c r="A6" s="1" t="n">
        <v>5</v>
      </c>
      <c r="C6" s="1" t="n">
        <v>2</v>
      </c>
    </row>
    <row r="7" customFormat="false" ht="15" hidden="false" customHeight="true" outlineLevel="0" collapsed="false">
      <c r="A7" s="1" t="n">
        <v>6</v>
      </c>
      <c r="C7" s="1" t="n">
        <v>1.5</v>
      </c>
    </row>
    <row r="24" customFormat="false" ht="15" hidden="false" customHeight="true" outlineLevel="0" collapsed="false">
      <c r="A24" s="1" t="s">
        <v>550</v>
      </c>
    </row>
    <row r="25" customFormat="false" ht="15" hidden="false" customHeight="true" outlineLevel="0" collapsed="false">
      <c r="A25" s="1" t="s">
        <v>551</v>
      </c>
      <c r="B25" s="1" t="s">
        <v>34</v>
      </c>
      <c r="C25" s="1" t="s">
        <v>70</v>
      </c>
      <c r="D25" s="1" t="s">
        <v>4</v>
      </c>
      <c r="E25" s="1" t="s">
        <v>5</v>
      </c>
      <c r="F25" s="1" t="s">
        <v>552</v>
      </c>
      <c r="G25" s="1" t="s">
        <v>553</v>
      </c>
      <c r="H25" s="1" t="s">
        <v>554</v>
      </c>
      <c r="I25" s="1" t="s">
        <v>555</v>
      </c>
      <c r="J25" s="1" t="s">
        <v>556</v>
      </c>
      <c r="K25" s="1" t="s">
        <v>557</v>
      </c>
      <c r="L25" s="1" t="s">
        <v>558</v>
      </c>
      <c r="M25" s="1" t="s">
        <v>559</v>
      </c>
      <c r="N25" s="1" t="s">
        <v>560</v>
      </c>
      <c r="O25" s="1" t="s">
        <v>561</v>
      </c>
      <c r="P25" s="1" t="s">
        <v>562</v>
      </c>
      <c r="Q25" s="1" t="s">
        <v>563</v>
      </c>
      <c r="R25" s="1" t="s">
        <v>564</v>
      </c>
      <c r="S25" s="1" t="s">
        <v>565</v>
      </c>
      <c r="T25" s="1" t="s">
        <v>566</v>
      </c>
    </row>
    <row r="26" customFormat="false" ht="15" hidden="false" customHeight="true" outlineLevel="0" collapsed="false">
      <c r="A26" s="1" t="n">
        <v>1</v>
      </c>
      <c r="B26" s="1" t="n">
        <v>45105</v>
      </c>
      <c r="C26" s="1" t="n">
        <v>4</v>
      </c>
      <c r="F26" s="1" t="s">
        <v>567</v>
      </c>
      <c r="G26" s="1" t="n">
        <v>1</v>
      </c>
      <c r="H26" s="1" t="n">
        <v>1</v>
      </c>
      <c r="I26" s="1" t="n">
        <v>45108</v>
      </c>
      <c r="K26" s="1" t="n">
        <v>5</v>
      </c>
      <c r="N26" s="1" t="n">
        <v>2000</v>
      </c>
      <c r="O26" s="1" t="n">
        <v>1000</v>
      </c>
      <c r="P26" s="1" t="s">
        <v>568</v>
      </c>
      <c r="Q26" s="1" t="n">
        <v>6</v>
      </c>
      <c r="T26" s="1" t="s">
        <v>569</v>
      </c>
    </row>
    <row r="27" customFormat="false" ht="15" hidden="false" customHeight="true" outlineLevel="0" collapsed="false">
      <c r="A27" s="1" t="n">
        <v>2</v>
      </c>
      <c r="B27" s="1" t="n">
        <v>45106</v>
      </c>
      <c r="C27" s="1" t="n">
        <v>2</v>
      </c>
      <c r="K27" s="1" t="n">
        <v>6</v>
      </c>
    </row>
    <row r="28" customFormat="false" ht="15" hidden="false" customHeight="true" outlineLevel="0" collapsed="false">
      <c r="A28" s="1" t="n">
        <v>3</v>
      </c>
      <c r="B28" s="1" t="n">
        <v>45107</v>
      </c>
      <c r="C28" s="1" t="n">
        <v>3</v>
      </c>
      <c r="K28" s="1" t="n">
        <v>7</v>
      </c>
    </row>
    <row r="29" customFormat="false" ht="15" hidden="false" customHeight="true" outlineLevel="0" collapsed="false">
      <c r="A29" s="1" t="n">
        <v>4</v>
      </c>
      <c r="B29" s="1" t="n">
        <v>45108</v>
      </c>
      <c r="C29" s="1" t="n">
        <v>5</v>
      </c>
      <c r="K29" s="1" t="n">
        <v>3</v>
      </c>
    </row>
    <row r="30" customFormat="false" ht="15" hidden="false" customHeight="true" outlineLevel="0" collapsed="false">
      <c r="A30" s="1" t="n">
        <v>5</v>
      </c>
      <c r="B30" s="1" t="n">
        <v>45109</v>
      </c>
    </row>
    <row r="31" customFormat="false" ht="15" hidden="false" customHeight="true" outlineLevel="0" collapsed="false">
      <c r="A31" s="1" t="n">
        <v>6</v>
      </c>
      <c r="B31" s="1" t="n">
        <v>45110</v>
      </c>
    </row>
    <row r="32" customFormat="false" ht="15" hidden="false" customHeight="true" outlineLevel="0" collapsed="false">
      <c r="A32" s="1" t="n">
        <v>7</v>
      </c>
      <c r="B32" s="1" t="n">
        <v>45111</v>
      </c>
    </row>
    <row r="33" customFormat="false" ht="15" hidden="false" customHeight="true" outlineLevel="0" collapsed="false">
      <c r="A33" s="1" t="n">
        <v>8</v>
      </c>
      <c r="B33" s="1" t="n">
        <v>45112</v>
      </c>
    </row>
    <row r="34" customFormat="false" ht="15" hidden="false" customHeight="true" outlineLevel="0" collapsed="false">
      <c r="A34" s="1" t="n">
        <v>9</v>
      </c>
      <c r="B34" s="1" t="n">
        <v>45113</v>
      </c>
    </row>
    <row r="35" customFormat="false" ht="15" hidden="false" customHeight="true" outlineLevel="0" collapsed="false">
      <c r="A35" s="1" t="n">
        <v>10</v>
      </c>
      <c r="B35" s="1" t="n">
        <v>45114</v>
      </c>
    </row>
    <row r="36" customFormat="false" ht="15" hidden="false" customHeight="true" outlineLevel="0" collapsed="false">
      <c r="A36" s="1" t="n">
        <v>11</v>
      </c>
    </row>
    <row r="37" customFormat="false" ht="15" hidden="false" customHeight="true" outlineLevel="0" collapsed="false">
      <c r="A37" s="1" t="n">
        <v>12</v>
      </c>
    </row>
    <row r="38" customFormat="false" ht="15" hidden="false" customHeight="true" outlineLevel="0" collapsed="false">
      <c r="A38" s="1" t="n">
        <v>13</v>
      </c>
    </row>
    <row r="39" customFormat="false" ht="15" hidden="false" customHeight="true" outlineLevel="0" collapsed="false">
      <c r="A39" s="1" t="n">
        <v>14</v>
      </c>
    </row>
    <row r="40" customFormat="false" ht="15" hidden="false" customHeight="true" outlineLevel="0" collapsed="false">
      <c r="A40" s="1" t="n">
        <v>15</v>
      </c>
    </row>
    <row r="41" customFormat="false" ht="15" hidden="false" customHeight="true" outlineLevel="0" collapsed="false">
      <c r="A41" s="1" t="n">
        <v>16</v>
      </c>
    </row>
    <row r="42" customFormat="false" ht="15" hidden="false" customHeight="true" outlineLevel="0" collapsed="false">
      <c r="A42" s="1" t="n">
        <v>17</v>
      </c>
    </row>
    <row r="43" customFormat="false" ht="15" hidden="false" customHeight="true" outlineLevel="0" collapsed="false">
      <c r="A43" s="1" t="n">
        <v>18</v>
      </c>
    </row>
    <row r="44" customFormat="false" ht="15" hidden="false" customHeight="true" outlineLevel="0" collapsed="false">
      <c r="A44" s="1" t="n">
        <v>19</v>
      </c>
    </row>
    <row r="45" customFormat="false" ht="15" hidden="false" customHeight="true" outlineLevel="0" collapsed="false">
      <c r="A45" s="1" t="n">
        <v>20</v>
      </c>
    </row>
    <row r="46" customFormat="false" ht="15" hidden="false" customHeight="true" outlineLevel="0" collapsed="false">
      <c r="A46" s="1" t="n">
        <v>21</v>
      </c>
    </row>
    <row r="47" customFormat="false" ht="15" hidden="false" customHeight="true" outlineLevel="0" collapsed="false">
      <c r="A47" s="1" t="n">
        <v>22</v>
      </c>
    </row>
    <row r="48" customFormat="false" ht="15" hidden="false" customHeight="true" outlineLevel="0" collapsed="false">
      <c r="A48" s="1" t="n">
        <v>23</v>
      </c>
    </row>
    <row r="49" customFormat="false" ht="15" hidden="false" customHeight="true" outlineLevel="0" collapsed="false">
      <c r="A49" s="1" t="n">
        <v>24</v>
      </c>
    </row>
    <row r="50" customFormat="false" ht="15" hidden="false" customHeight="true" outlineLevel="0" collapsed="false">
      <c r="A50" s="1" t="n">
        <v>25</v>
      </c>
    </row>
    <row r="51" customFormat="false" ht="15" hidden="false" customHeight="true" outlineLevel="0" collapsed="false">
      <c r="A51" s="1" t="n">
        <v>26</v>
      </c>
    </row>
    <row r="52" customFormat="false" ht="15" hidden="false" customHeight="true" outlineLevel="0" collapsed="false">
      <c r="A52" s="1" t="n">
        <v>27</v>
      </c>
    </row>
    <row r="53" customFormat="false" ht="15" hidden="false" customHeight="true" outlineLevel="0" collapsed="false">
      <c r="A53" s="1" t="n">
        <v>28</v>
      </c>
    </row>
    <row r="54" customFormat="false" ht="15" hidden="false" customHeight="true" outlineLevel="0" collapsed="false">
      <c r="A54" s="1" t="n">
        <v>29</v>
      </c>
    </row>
    <row r="55" customFormat="false" ht="15" hidden="false" customHeight="true" outlineLevel="0" collapsed="false">
      <c r="A55" s="1" t="n">
        <v>30</v>
      </c>
    </row>
    <row r="56" customFormat="false" ht="15" hidden="false" customHeight="true" outlineLevel="0" collapsed="false">
      <c r="A56" s="1" t="n">
        <v>31</v>
      </c>
    </row>
    <row r="57" customFormat="false" ht="15" hidden="false" customHeight="true" outlineLevel="0" collapsed="false">
      <c r="A57" s="1" t="n">
        <v>32</v>
      </c>
    </row>
    <row r="58" customFormat="false" ht="15" hidden="false" customHeight="true" outlineLevel="0" collapsed="false">
      <c r="A58" s="1" t="n">
        <v>33</v>
      </c>
    </row>
    <row r="59" customFormat="false" ht="15" hidden="false" customHeight="true" outlineLevel="0" collapsed="false">
      <c r="A59" s="1" t="n">
        <v>34</v>
      </c>
    </row>
    <row r="60" customFormat="false" ht="15" hidden="false" customHeight="true" outlineLevel="0" collapsed="false">
      <c r="A60" s="1" t="n">
        <v>35</v>
      </c>
    </row>
    <row r="61" customFormat="false" ht="15" hidden="false" customHeight="true" outlineLevel="0" collapsed="false">
      <c r="A61" s="1" t="n">
        <v>36</v>
      </c>
    </row>
    <row r="62" customFormat="false" ht="15" hidden="false" customHeight="true" outlineLevel="0" collapsed="false">
      <c r="A62" s="1" t="n">
        <v>37</v>
      </c>
    </row>
    <row r="63" customFormat="false" ht="15" hidden="false" customHeight="true" outlineLevel="0" collapsed="false">
      <c r="A63" s="1" t="n">
        <v>38</v>
      </c>
    </row>
    <row r="64" customFormat="false" ht="15" hidden="false" customHeight="true" outlineLevel="0" collapsed="false">
      <c r="A64" s="1" t="n">
        <v>39</v>
      </c>
    </row>
    <row r="65" customFormat="false" ht="15" hidden="false" customHeight="true" outlineLevel="0" collapsed="false">
      <c r="A65" s="1" t="n">
        <v>40</v>
      </c>
    </row>
    <row r="66" customFormat="false" ht="15" hidden="false" customHeight="true" outlineLevel="0" collapsed="false">
      <c r="A66" s="1" t="n">
        <v>41</v>
      </c>
    </row>
    <row r="67" customFormat="false" ht="15" hidden="false" customHeight="true" outlineLevel="0" collapsed="false">
      <c r="A67" s="1" t="n">
        <v>42</v>
      </c>
    </row>
    <row r="68" customFormat="false" ht="15" hidden="false" customHeight="true" outlineLevel="0" collapsed="false">
      <c r="A68" s="1" t="n">
        <v>43</v>
      </c>
    </row>
    <row r="69" customFormat="false" ht="15" hidden="false" customHeight="true" outlineLevel="0" collapsed="false">
      <c r="A69" s="1" t="n">
        <v>44</v>
      </c>
    </row>
    <row r="70" customFormat="false" ht="15" hidden="false" customHeight="true" outlineLevel="0" collapsed="false">
      <c r="A70" s="1" t="n">
        <v>45</v>
      </c>
    </row>
    <row r="71" customFormat="false" ht="15" hidden="false" customHeight="true" outlineLevel="0" collapsed="false">
      <c r="A71" s="1" t="n">
        <v>46</v>
      </c>
    </row>
    <row r="72" customFormat="false" ht="15" hidden="false" customHeight="true" outlineLevel="0" collapsed="false">
      <c r="A72" s="1" t="n">
        <v>47</v>
      </c>
    </row>
    <row r="73" customFormat="false" ht="15" hidden="false" customHeight="true" outlineLevel="0" collapsed="false">
      <c r="A73" s="1" t="n">
        <v>48</v>
      </c>
    </row>
    <row r="74" customFormat="false" ht="15" hidden="false" customHeight="true" outlineLevel="0" collapsed="false">
      <c r="A74" s="1" t="n">
        <v>49</v>
      </c>
    </row>
    <row r="75" customFormat="false" ht="15" hidden="false" customHeight="true" outlineLevel="0" collapsed="false">
      <c r="A75" s="1" t="n">
        <v>50</v>
      </c>
    </row>
    <row r="76" customFormat="false" ht="15" hidden="false" customHeight="true" outlineLevel="0" collapsed="false">
      <c r="A76" s="1" t="n">
        <v>51</v>
      </c>
    </row>
    <row r="77" customFormat="false" ht="15" hidden="false" customHeight="true" outlineLevel="0" collapsed="false">
      <c r="A77" s="1" t="n">
        <v>52</v>
      </c>
    </row>
    <row r="78" customFormat="false" ht="15" hidden="false" customHeight="true" outlineLevel="0" collapsed="false">
      <c r="A78" s="1" t="n">
        <v>53</v>
      </c>
    </row>
    <row r="79" customFormat="false" ht="15" hidden="false" customHeight="true" outlineLevel="0" collapsed="false">
      <c r="A79" s="1" t="n">
        <v>54</v>
      </c>
    </row>
    <row r="80" customFormat="false" ht="15" hidden="false" customHeight="true" outlineLevel="0" collapsed="false">
      <c r="A80" s="1" t="n">
        <v>55</v>
      </c>
    </row>
    <row r="81" customFormat="false" ht="15" hidden="false" customHeight="true" outlineLevel="0" collapsed="false">
      <c r="A81" s="1" t="n">
        <v>56</v>
      </c>
    </row>
    <row r="82" customFormat="false" ht="15" hidden="false" customHeight="true" outlineLevel="0" collapsed="false">
      <c r="A82" s="1" t="n">
        <v>57</v>
      </c>
    </row>
    <row r="83" customFormat="false" ht="15" hidden="false" customHeight="true" outlineLevel="0" collapsed="false">
      <c r="A83" s="1" t="n">
        <v>58</v>
      </c>
    </row>
    <row r="84" customFormat="false" ht="15" hidden="false" customHeight="true" outlineLevel="0" collapsed="false">
      <c r="A84" s="1" t="n">
        <v>59</v>
      </c>
    </row>
    <row r="85" customFormat="false" ht="15" hidden="false" customHeight="true" outlineLevel="0" collapsed="false">
      <c r="A85" s="1" t="n">
        <v>60</v>
      </c>
    </row>
    <row r="86" customFormat="false" ht="15" hidden="false" customHeight="true" outlineLevel="0" collapsed="false">
      <c r="A86" s="1" t="n">
        <v>61</v>
      </c>
    </row>
    <row r="87" customFormat="false" ht="15" hidden="false" customHeight="true" outlineLevel="0" collapsed="false">
      <c r="A87" s="1" t="n">
        <v>62</v>
      </c>
    </row>
    <row r="88" customFormat="false" ht="15" hidden="false" customHeight="true" outlineLevel="0" collapsed="false">
      <c r="A88" s="1" t="n">
        <v>63</v>
      </c>
    </row>
    <row r="89" customFormat="false" ht="15" hidden="false" customHeight="true" outlineLevel="0" collapsed="false">
      <c r="A89" s="1" t="n">
        <v>64</v>
      </c>
    </row>
    <row r="90" customFormat="false" ht="15" hidden="false" customHeight="true" outlineLevel="0" collapsed="false">
      <c r="A90" s="1" t="n">
        <v>65</v>
      </c>
    </row>
    <row r="91" customFormat="false" ht="15" hidden="false" customHeight="true" outlineLevel="0" collapsed="false">
      <c r="A91" s="1" t="n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551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</row>
    <row r="2" customFormat="false" ht="15" hidden="false" customHeight="true" outlineLevel="0" collapsed="false">
      <c r="A2" s="1" t="s">
        <v>557</v>
      </c>
    </row>
    <row r="3" customFormat="false" ht="15" hidden="false" customHeight="true" outlineLevel="0" collapsed="false">
      <c r="A3" s="1" t="s">
        <v>570</v>
      </c>
    </row>
    <row r="4" customFormat="false" ht="15" hidden="false" customHeight="true" outlineLevel="0" collapsed="false">
      <c r="A4" s="1" t="s">
        <v>571</v>
      </c>
    </row>
    <row r="5" customFormat="false" ht="15" hidden="false" customHeight="true" outlineLevel="0" collapsed="false">
      <c r="A5" s="1" t="s">
        <v>572</v>
      </c>
    </row>
    <row r="6" customFormat="false" ht="15" hidden="false" customHeight="true" outlineLevel="0" collapsed="false">
      <c r="A6" s="1" t="s">
        <v>573</v>
      </c>
    </row>
    <row r="7" customFormat="false" ht="15" hidden="false" customHeight="true" outlineLevel="0" collapsed="false">
      <c r="A7" s="1" t="s">
        <v>574</v>
      </c>
    </row>
    <row r="8" customFormat="false" ht="15" hidden="false" customHeight="true" outlineLevel="0" collapsed="false">
      <c r="A8" s="1" t="s">
        <v>575</v>
      </c>
    </row>
    <row r="9" customFormat="false" ht="15" hidden="false" customHeight="true" outlineLevel="0" collapsed="false">
      <c r="A9" s="1" t="s">
        <v>576</v>
      </c>
    </row>
    <row r="10" customFormat="false" ht="15" hidden="false" customHeight="true" outlineLevel="0" collapsed="false">
      <c r="A10" s="1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578</v>
      </c>
      <c r="B1" s="1" t="s">
        <v>579</v>
      </c>
      <c r="C1" s="1" t="s">
        <v>4</v>
      </c>
      <c r="D1" s="1" t="s">
        <v>5</v>
      </c>
      <c r="E1" s="1" t="s">
        <v>22</v>
      </c>
      <c r="J1" s="1" t="s">
        <v>579</v>
      </c>
      <c r="K1" s="1" t="s">
        <v>4</v>
      </c>
      <c r="L1" s="1" t="s">
        <v>5</v>
      </c>
      <c r="M1" s="1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A1" s="1" t="s">
        <v>580</v>
      </c>
      <c r="B1" s="1" t="s">
        <v>581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588</v>
      </c>
    </row>
    <row r="2" customFormat="false" ht="15" hidden="false" customHeight="true" outlineLevel="0" collapsed="false">
      <c r="B2" s="1" t="n">
        <v>1</v>
      </c>
      <c r="C2" s="1" t="s">
        <v>589</v>
      </c>
      <c r="E2" s="1" t="s">
        <v>590</v>
      </c>
      <c r="F2" s="1" t="s">
        <v>591</v>
      </c>
      <c r="G2" s="1" t="s">
        <v>592</v>
      </c>
      <c r="H2" s="1" t="s">
        <v>593</v>
      </c>
      <c r="I2" s="1" t="s">
        <v>594</v>
      </c>
    </row>
    <row r="3" customFormat="false" ht="15" hidden="false" customHeight="true" outlineLevel="0" collapsed="false">
      <c r="B3" s="1" t="n">
        <v>2</v>
      </c>
      <c r="C3" s="1" t="s">
        <v>595</v>
      </c>
      <c r="D3" s="1" t="s">
        <v>596</v>
      </c>
      <c r="E3" s="1" t="s">
        <v>597</v>
      </c>
      <c r="F3" s="1" t="s">
        <v>598</v>
      </c>
      <c r="G3" s="1" t="s">
        <v>597</v>
      </c>
      <c r="H3" s="1" t="s">
        <v>599</v>
      </c>
      <c r="I3" s="1" t="s">
        <v>594</v>
      </c>
    </row>
    <row r="4" customFormat="false" ht="15" hidden="false" customHeight="true" outlineLevel="0" collapsed="false">
      <c r="B4" s="1" t="n">
        <v>3</v>
      </c>
      <c r="C4" s="1" t="s">
        <v>589</v>
      </c>
      <c r="E4" s="1" t="s">
        <v>590</v>
      </c>
      <c r="F4" s="1" t="s">
        <v>591</v>
      </c>
      <c r="G4" s="1" t="s">
        <v>592</v>
      </c>
      <c r="H4" s="1" t="s">
        <v>593</v>
      </c>
      <c r="I4" s="1" t="s">
        <v>594</v>
      </c>
    </row>
    <row r="5" customFormat="false" ht="15" hidden="false" customHeight="true" outlineLevel="0" collapsed="false">
      <c r="B5" s="1" t="n">
        <v>4</v>
      </c>
      <c r="C5" s="1" t="s">
        <v>595</v>
      </c>
      <c r="D5" s="1" t="s">
        <v>600</v>
      </c>
      <c r="E5" s="1" t="s">
        <v>601</v>
      </c>
      <c r="I5" s="1" t="s">
        <v>594</v>
      </c>
    </row>
    <row r="6" customFormat="false" ht="15.75" hidden="false" customHeight="true" outlineLevel="0" collapsed="false">
      <c r="B6" s="1" t="s">
        <v>602</v>
      </c>
      <c r="C6" s="1" t="s">
        <v>595</v>
      </c>
      <c r="D6" s="1" t="s">
        <v>603</v>
      </c>
      <c r="E6" s="1" t="s">
        <v>604</v>
      </c>
      <c r="F6" s="1" t="s">
        <v>604</v>
      </c>
      <c r="G6" s="1" t="s">
        <v>604</v>
      </c>
      <c r="H6" s="1" t="s">
        <v>605</v>
      </c>
    </row>
    <row r="12" customFormat="false" ht="15" hidden="false" customHeight="true" outlineLevel="0" collapsed="false">
      <c r="A12" s="1" t="s">
        <v>580</v>
      </c>
      <c r="B12" s="1" t="s">
        <v>581</v>
      </c>
      <c r="C12" s="1" t="s">
        <v>582</v>
      </c>
      <c r="D12" s="1" t="s">
        <v>583</v>
      </c>
      <c r="E12" s="1" t="s">
        <v>584</v>
      </c>
      <c r="F12" s="1" t="s">
        <v>585</v>
      </c>
      <c r="G12" s="1" t="s">
        <v>586</v>
      </c>
      <c r="H12" s="1" t="s">
        <v>587</v>
      </c>
      <c r="I12" s="1" t="s">
        <v>588</v>
      </c>
    </row>
    <row r="13" customFormat="false" ht="15" hidden="false" customHeight="true" outlineLevel="0" collapsed="false">
      <c r="B13" s="1" t="n">
        <v>1</v>
      </c>
      <c r="C13" s="1" t="s">
        <v>589</v>
      </c>
      <c r="D13" s="1" t="s">
        <v>600</v>
      </c>
      <c r="E13" s="1" t="s">
        <v>590</v>
      </c>
      <c r="F13" s="1" t="s">
        <v>591</v>
      </c>
      <c r="G13" s="1" t="s">
        <v>592</v>
      </c>
      <c r="H13" s="1" t="s">
        <v>593</v>
      </c>
      <c r="I13" s="1" t="s">
        <v>594</v>
      </c>
    </row>
    <row r="14" customFormat="false" ht="15" hidden="false" customHeight="true" outlineLevel="0" collapsed="false">
      <c r="B14" s="1" t="n">
        <v>2</v>
      </c>
      <c r="C14" s="1" t="s">
        <v>595</v>
      </c>
      <c r="D14" s="1" t="s">
        <v>600</v>
      </c>
      <c r="E14" s="1" t="s">
        <v>597</v>
      </c>
      <c r="F14" s="1" t="s">
        <v>598</v>
      </c>
      <c r="G14" s="1" t="s">
        <v>597</v>
      </c>
      <c r="H14" s="1" t="s">
        <v>599</v>
      </c>
      <c r="I14" s="1" t="s">
        <v>594</v>
      </c>
    </row>
    <row r="15" customFormat="false" ht="15" hidden="false" customHeight="true" outlineLevel="0" collapsed="false">
      <c r="B15" s="1" t="n">
        <v>3</v>
      </c>
      <c r="C15" s="1" t="s">
        <v>589</v>
      </c>
      <c r="D15" s="1" t="s">
        <v>600</v>
      </c>
      <c r="E15" s="1" t="s">
        <v>590</v>
      </c>
      <c r="F15" s="1" t="s">
        <v>591</v>
      </c>
      <c r="G15" s="1" t="s">
        <v>592</v>
      </c>
      <c r="H15" s="1" t="s">
        <v>593</v>
      </c>
      <c r="I15" s="1" t="s">
        <v>594</v>
      </c>
    </row>
    <row r="16" customFormat="false" ht="15" hidden="false" customHeight="true" outlineLevel="0" collapsed="false">
      <c r="B16" s="1" t="n">
        <v>4</v>
      </c>
      <c r="C16" s="1" t="s">
        <v>595</v>
      </c>
      <c r="D16" s="1" t="s">
        <v>600</v>
      </c>
      <c r="E16" s="1" t="s">
        <v>597</v>
      </c>
      <c r="F16" s="1" t="s">
        <v>598</v>
      </c>
      <c r="G16" s="1" t="s">
        <v>597</v>
      </c>
      <c r="H16" s="1" t="s">
        <v>599</v>
      </c>
      <c r="I16" s="1" t="s">
        <v>594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2" customFormat="false" ht="15" hidden="false" customHeight="true" outlineLevel="0" collapsed="false">
      <c r="A2" s="1" t="s">
        <v>356</v>
      </c>
      <c r="C2" s="1" t="s">
        <v>70</v>
      </c>
      <c r="E2" s="1" t="s">
        <v>34</v>
      </c>
    </row>
    <row r="3" customFormat="false" ht="15" hidden="false" customHeight="true" outlineLevel="0" collapsed="false">
      <c r="A3" s="1" t="n">
        <v>1</v>
      </c>
      <c r="B3" s="1" t="n">
        <v>1</v>
      </c>
      <c r="C3" s="1" t="n">
        <v>4</v>
      </c>
      <c r="D3" s="1" t="n">
        <v>500</v>
      </c>
      <c r="E3" s="1" t="n">
        <v>45108</v>
      </c>
      <c r="G3" s="1" t="s">
        <v>560</v>
      </c>
    </row>
    <row r="4" customFormat="false" ht="15" hidden="false" customHeight="true" outlineLevel="0" collapsed="false">
      <c r="A4" s="1" t="n">
        <v>2</v>
      </c>
      <c r="B4" s="1" t="n">
        <v>1</v>
      </c>
      <c r="C4" s="1" t="n">
        <v>4</v>
      </c>
      <c r="D4" s="1" t="n">
        <v>500</v>
      </c>
      <c r="G4" s="1" t="s">
        <v>560</v>
      </c>
    </row>
    <row r="5" customFormat="false" ht="15" hidden="false" customHeight="true" outlineLevel="0" collapsed="false">
      <c r="A5" s="1" t="n">
        <v>3</v>
      </c>
    </row>
    <row r="6" customFormat="false" ht="15" hidden="false" customHeight="true" outlineLevel="0" collapsed="false">
      <c r="A6" s="1" t="n">
        <v>4</v>
      </c>
    </row>
    <row r="7" customFormat="false" ht="15" hidden="false" customHeight="true" outlineLevel="0" collapsed="false">
      <c r="A7" s="1" t="n">
        <v>5</v>
      </c>
    </row>
    <row r="8" customFormat="false" ht="15" hidden="false" customHeight="true" outlineLevel="0" collapsed="false">
      <c r="A8" s="1" t="n">
        <v>6</v>
      </c>
    </row>
    <row r="9" customFormat="false" ht="15" hidden="false" customHeight="true" outlineLevel="0" collapsed="false">
      <c r="A9" s="1" t="n">
        <v>7</v>
      </c>
    </row>
    <row r="10" customFormat="false" ht="15" hidden="false" customHeight="true" outlineLevel="0" collapsed="false">
      <c r="A10" s="1" t="n">
        <v>8</v>
      </c>
    </row>
    <row r="11" customFormat="false" ht="15" hidden="false" customHeight="true" outlineLevel="0" collapsed="false">
      <c r="A11" s="1" t="n">
        <v>9</v>
      </c>
    </row>
    <row r="12" customFormat="false" ht="15" hidden="false" customHeight="true" outlineLevel="0" collapsed="false">
      <c r="A12" s="1" t="n">
        <v>10</v>
      </c>
    </row>
    <row r="13" customFormat="false" ht="15" hidden="false" customHeight="true" outlineLevel="0" collapsed="false">
      <c r="A13" s="1" t="n">
        <v>11</v>
      </c>
    </row>
    <row r="14" customFormat="false" ht="15" hidden="false" customHeight="true" outlineLevel="0" collapsed="false">
      <c r="A14" s="1" t="n">
        <v>12</v>
      </c>
    </row>
    <row r="15" customFormat="false" ht="15" hidden="false" customHeight="true" outlineLevel="0" collapsed="false">
      <c r="A15" s="1" t="n">
        <v>13</v>
      </c>
    </row>
    <row r="16" customFormat="false" ht="15" hidden="false" customHeight="true" outlineLevel="0" collapsed="false">
      <c r="A16" s="1" t="n">
        <v>14</v>
      </c>
    </row>
    <row r="17" customFormat="false" ht="15" hidden="false" customHeight="true" outlineLevel="0" collapsed="false">
      <c r="A17" s="1" t="n">
        <v>15</v>
      </c>
    </row>
    <row r="18" customFormat="false" ht="15" hidden="false" customHeight="true" outlineLevel="0" collapsed="false">
      <c r="A18" s="1" t="n">
        <v>16</v>
      </c>
    </row>
    <row r="19" customFormat="false" ht="15" hidden="false" customHeight="true" outlineLevel="0" collapsed="false">
      <c r="A19" s="1" t="n">
        <v>17</v>
      </c>
    </row>
    <row r="20" customFormat="false" ht="15" hidden="false" customHeight="true" outlineLevel="0" collapsed="false">
      <c r="A20" s="1" t="n">
        <v>18</v>
      </c>
    </row>
    <row r="21" customFormat="false" ht="15" hidden="false" customHeight="true" outlineLevel="0" collapsed="false">
      <c r="A21" s="1" t="n">
        <v>19</v>
      </c>
    </row>
    <row r="22" customFormat="false" ht="15" hidden="false" customHeight="true" outlineLevel="0" collapsed="false">
      <c r="A22" s="1" t="n">
        <v>20</v>
      </c>
    </row>
    <row r="23" customFormat="false" ht="15" hidden="false" customHeight="true" outlineLevel="0" collapsed="false">
      <c r="A23" s="1" t="n">
        <v>21</v>
      </c>
    </row>
    <row r="24" customFormat="false" ht="15" hidden="false" customHeight="true" outlineLevel="0" collapsed="false">
      <c r="A24" s="1" t="n">
        <v>22</v>
      </c>
    </row>
    <row r="25" customFormat="false" ht="15" hidden="false" customHeight="true" outlineLevel="0" collapsed="false">
      <c r="A25" s="1" t="n">
        <v>23</v>
      </c>
    </row>
    <row r="26" customFormat="false" ht="15" hidden="false" customHeight="true" outlineLevel="0" collapsed="false">
      <c r="A26" s="1" t="n">
        <v>24</v>
      </c>
    </row>
    <row r="27" customFormat="false" ht="15" hidden="false" customHeight="true" outlineLevel="0" collapsed="false">
      <c r="A27" s="1" t="n">
        <v>25</v>
      </c>
    </row>
    <row r="28" customFormat="false" ht="15" hidden="false" customHeight="true" outlineLevel="0" collapsed="false">
      <c r="A28" s="1" t="n">
        <v>26</v>
      </c>
    </row>
    <row r="29" customFormat="false" ht="15" hidden="false" customHeight="true" outlineLevel="0" collapsed="false">
      <c r="A29" s="1" t="n">
        <v>27</v>
      </c>
    </row>
    <row r="30" customFormat="false" ht="15" hidden="false" customHeight="true" outlineLevel="0" collapsed="false">
      <c r="A30" s="1" t="n">
        <v>28</v>
      </c>
    </row>
    <row r="31" customFormat="false" ht="15" hidden="false" customHeight="true" outlineLevel="0" collapsed="false">
      <c r="A31" s="1" t="n">
        <v>29</v>
      </c>
    </row>
    <row r="32" customFormat="false" ht="15" hidden="false" customHeight="true" outlineLevel="0" collapsed="false">
      <c r="A32" s="1" t="n">
        <v>30</v>
      </c>
    </row>
    <row r="33" customFormat="false" ht="15" hidden="false" customHeight="true" outlineLevel="0" collapsed="false">
      <c r="A33" s="1" t="n">
        <v>31</v>
      </c>
    </row>
    <row r="34" customFormat="false" ht="15" hidden="false" customHeight="true" outlineLevel="0" collapsed="false">
      <c r="A34" s="1" t="n">
        <v>32</v>
      </c>
    </row>
    <row r="35" customFormat="false" ht="15" hidden="false" customHeight="true" outlineLevel="0" collapsed="false">
      <c r="A35" s="1" t="n">
        <v>33</v>
      </c>
    </row>
    <row r="36" customFormat="false" ht="15" hidden="false" customHeight="true" outlineLevel="0" collapsed="false">
      <c r="A36" s="1" t="n">
        <v>34</v>
      </c>
    </row>
    <row r="37" customFormat="false" ht="15" hidden="false" customHeight="true" outlineLevel="0" collapsed="false">
      <c r="A37" s="1" t="n">
        <v>35</v>
      </c>
    </row>
    <row r="38" customFormat="false" ht="15" hidden="false" customHeight="true" outlineLevel="0" collapsed="false">
      <c r="A38" s="1" t="n">
        <v>36</v>
      </c>
    </row>
    <row r="39" customFormat="false" ht="15" hidden="false" customHeight="true" outlineLevel="0" collapsed="false">
      <c r="A39" s="1" t="n">
        <v>37</v>
      </c>
    </row>
    <row r="40" customFormat="false" ht="15" hidden="false" customHeight="true" outlineLevel="0" collapsed="false">
      <c r="A40" s="1" t="n">
        <v>38</v>
      </c>
    </row>
    <row r="41" customFormat="false" ht="15" hidden="false" customHeight="true" outlineLevel="0" collapsed="false">
      <c r="A41" s="1" t="n">
        <v>39</v>
      </c>
    </row>
    <row r="42" customFormat="false" ht="15" hidden="false" customHeight="true" outlineLevel="0" collapsed="false">
      <c r="A42" s="1" t="n">
        <v>40</v>
      </c>
    </row>
    <row r="43" customFormat="false" ht="15" hidden="false" customHeight="true" outlineLevel="0" collapsed="false">
      <c r="A43" s="1" t="n">
        <v>41</v>
      </c>
    </row>
    <row r="44" customFormat="false" ht="15" hidden="false" customHeight="true" outlineLevel="0" collapsed="false">
      <c r="A44" s="1" t="n">
        <v>42</v>
      </c>
    </row>
    <row r="45" customFormat="false" ht="15" hidden="false" customHeight="true" outlineLevel="0" collapsed="false">
      <c r="A45" s="1" t="n">
        <v>43</v>
      </c>
    </row>
    <row r="46" customFormat="false" ht="15" hidden="false" customHeight="true" outlineLevel="0" collapsed="false">
      <c r="A46" s="1" t="n">
        <v>44</v>
      </c>
    </row>
    <row r="47" customFormat="false" ht="15" hidden="false" customHeight="true" outlineLevel="0" collapsed="false">
      <c r="A47" s="1" t="n">
        <v>45</v>
      </c>
    </row>
    <row r="48" customFormat="false" ht="15" hidden="false" customHeight="true" outlineLevel="0" collapsed="false">
      <c r="A48" s="1" t="n">
        <v>46</v>
      </c>
    </row>
    <row r="49" customFormat="false" ht="15" hidden="false" customHeight="true" outlineLevel="0" collapsed="false">
      <c r="A49" s="1" t="n">
        <v>47</v>
      </c>
    </row>
    <row r="50" customFormat="false" ht="15" hidden="false" customHeight="true" outlineLevel="0" collapsed="false">
      <c r="A50" s="1" t="n">
        <v>48</v>
      </c>
    </row>
    <row r="51" customFormat="false" ht="15" hidden="false" customHeight="true" outlineLevel="0" collapsed="false">
      <c r="A51" s="1" t="n">
        <v>49</v>
      </c>
    </row>
    <row r="52" customFormat="false" ht="15" hidden="false" customHeight="true" outlineLevel="0" collapsed="false">
      <c r="A52" s="1" t="n">
        <v>50</v>
      </c>
    </row>
    <row r="53" customFormat="false" ht="15" hidden="false" customHeight="true" outlineLevel="0" collapsed="false">
      <c r="A53" s="1" t="n">
        <v>51</v>
      </c>
    </row>
    <row r="54" customFormat="false" ht="15" hidden="false" customHeight="true" outlineLevel="0" collapsed="false">
      <c r="A54" s="1" t="n">
        <v>52</v>
      </c>
    </row>
    <row r="55" customFormat="false" ht="15" hidden="false" customHeight="true" outlineLevel="0" collapsed="false">
      <c r="A55" s="1" t="n">
        <v>53</v>
      </c>
    </row>
    <row r="56" customFormat="false" ht="15" hidden="false" customHeight="true" outlineLevel="0" collapsed="false">
      <c r="A56" s="1" t="n">
        <v>54</v>
      </c>
    </row>
    <row r="57" customFormat="false" ht="15" hidden="false" customHeight="true" outlineLevel="0" collapsed="false">
      <c r="A57" s="1" t="n">
        <v>55</v>
      </c>
    </row>
    <row r="58" customFormat="false" ht="15" hidden="false" customHeight="true" outlineLevel="0" collapsed="false">
      <c r="A58" s="1" t="n">
        <v>56</v>
      </c>
    </row>
    <row r="59" customFormat="false" ht="15" hidden="false" customHeight="true" outlineLevel="0" collapsed="false">
      <c r="A59" s="1" t="n">
        <v>57</v>
      </c>
    </row>
    <row r="60" customFormat="false" ht="15" hidden="false" customHeight="true" outlineLevel="0" collapsed="false">
      <c r="A60" s="1" t="n">
        <v>58</v>
      </c>
    </row>
    <row r="61" customFormat="false" ht="15" hidden="false" customHeight="true" outlineLevel="0" collapsed="false">
      <c r="A61" s="1" t="n">
        <v>59</v>
      </c>
    </row>
    <row r="62" customFormat="false" ht="15" hidden="false" customHeight="true" outlineLevel="0" collapsed="false">
      <c r="A62" s="1" t="n">
        <v>60</v>
      </c>
    </row>
    <row r="63" customFormat="false" ht="15" hidden="false" customHeight="true" outlineLevel="0" collapsed="false">
      <c r="A63" s="1" t="n">
        <v>61</v>
      </c>
    </row>
    <row r="64" customFormat="false" ht="15" hidden="false" customHeight="true" outlineLevel="0" collapsed="false">
      <c r="A64" s="1" t="n">
        <v>62</v>
      </c>
    </row>
    <row r="65" customFormat="false" ht="15" hidden="false" customHeight="true" outlineLevel="0" collapsed="false">
      <c r="A65" s="1" t="n">
        <v>63</v>
      </c>
    </row>
    <row r="66" customFormat="false" ht="15" hidden="false" customHeight="true" outlineLevel="0" collapsed="false">
      <c r="A66" s="1" t="n">
        <v>64</v>
      </c>
    </row>
    <row r="67" customFormat="false" ht="15" hidden="false" customHeight="true" outlineLevel="0" collapsed="false">
      <c r="A67" s="1" t="n">
        <v>65</v>
      </c>
    </row>
    <row r="68" customFormat="false" ht="15" hidden="false" customHeight="true" outlineLevel="0" collapsed="false">
      <c r="A68" s="1" t="n">
        <v>66</v>
      </c>
    </row>
    <row r="69" customFormat="false" ht="15" hidden="false" customHeight="true" outlineLevel="0" collapsed="false">
      <c r="A69" s="1" t="n">
        <v>67</v>
      </c>
    </row>
    <row r="70" customFormat="false" ht="15" hidden="false" customHeight="true" outlineLevel="0" collapsed="false">
      <c r="A70" s="1" t="n">
        <v>68</v>
      </c>
    </row>
    <row r="71" customFormat="false" ht="15" hidden="false" customHeight="true" outlineLevel="0" collapsed="false">
      <c r="A71" s="1" t="n">
        <v>69</v>
      </c>
    </row>
    <row r="72" customFormat="false" ht="15" hidden="false" customHeight="true" outlineLevel="0" collapsed="false">
      <c r="A72" s="1" t="n">
        <v>70</v>
      </c>
    </row>
    <row r="73" customFormat="false" ht="15" hidden="false" customHeight="true" outlineLevel="0" collapsed="false">
      <c r="A73" s="1" t="n">
        <v>71</v>
      </c>
    </row>
    <row r="74" customFormat="false" ht="15" hidden="false" customHeight="true" outlineLevel="0" collapsed="false">
      <c r="A74" s="1" t="n">
        <v>72</v>
      </c>
    </row>
    <row r="75" customFormat="false" ht="15" hidden="false" customHeight="true" outlineLevel="0" collapsed="false">
      <c r="A75" s="1" t="n">
        <v>73</v>
      </c>
    </row>
    <row r="76" customFormat="false" ht="15" hidden="false" customHeight="true" outlineLevel="0" collapsed="false">
      <c r="A76" s="1" t="n">
        <v>74</v>
      </c>
    </row>
    <row r="77" customFormat="false" ht="15" hidden="false" customHeight="true" outlineLevel="0" collapsed="false">
      <c r="A77" s="1" t="n">
        <v>75</v>
      </c>
    </row>
    <row r="78" customFormat="false" ht="15" hidden="false" customHeight="true" outlineLevel="0" collapsed="false">
      <c r="A78" s="1" t="n">
        <v>76</v>
      </c>
    </row>
    <row r="79" customFormat="false" ht="15" hidden="false" customHeight="true" outlineLevel="0" collapsed="false">
      <c r="A79" s="1" t="n">
        <v>77</v>
      </c>
    </row>
    <row r="80" customFormat="false" ht="15" hidden="false" customHeight="true" outlineLevel="0" collapsed="false">
      <c r="A80" s="1" t="n">
        <v>78</v>
      </c>
    </row>
    <row r="81" customFormat="false" ht="15" hidden="false" customHeight="true" outlineLevel="0" collapsed="false">
      <c r="A81" s="1" t="n">
        <v>79</v>
      </c>
    </row>
    <row r="82" customFormat="false" ht="15" hidden="false" customHeight="true" outlineLevel="0" collapsed="false">
      <c r="A82" s="1" t="n">
        <v>80</v>
      </c>
    </row>
    <row r="83" customFormat="false" ht="15" hidden="false" customHeight="true" outlineLevel="0" collapsed="false">
      <c r="A83" s="1" t="n">
        <v>81</v>
      </c>
    </row>
    <row r="84" customFormat="false" ht="15" hidden="false" customHeight="true" outlineLevel="0" collapsed="false">
      <c r="A84" s="1" t="n">
        <v>82</v>
      </c>
    </row>
    <row r="85" customFormat="false" ht="15" hidden="false" customHeight="true" outlineLevel="0" collapsed="false">
      <c r="A85" s="1" t="n">
        <v>83</v>
      </c>
    </row>
    <row r="86" customFormat="false" ht="15" hidden="false" customHeight="true" outlineLevel="0" collapsed="false">
      <c r="A86" s="1" t="n">
        <v>84</v>
      </c>
    </row>
    <row r="87" customFormat="false" ht="15" hidden="false" customHeight="true" outlineLevel="0" collapsed="false">
      <c r="A87" s="1" t="n">
        <v>85</v>
      </c>
    </row>
    <row r="88" customFormat="false" ht="15" hidden="false" customHeight="true" outlineLevel="0" collapsed="false">
      <c r="A88" s="1" t="n">
        <v>86</v>
      </c>
    </row>
    <row r="89" customFormat="false" ht="15" hidden="false" customHeight="true" outlineLevel="0" collapsed="false">
      <c r="A89" s="1" t="n">
        <v>87</v>
      </c>
    </row>
    <row r="90" customFormat="false" ht="15" hidden="false" customHeight="true" outlineLevel="0" collapsed="false">
      <c r="A90" s="1" t="n">
        <v>88</v>
      </c>
    </row>
    <row r="91" customFormat="false" ht="15" hidden="false" customHeight="true" outlineLevel="0" collapsed="false">
      <c r="A91" s="1" t="n">
        <v>89</v>
      </c>
    </row>
    <row r="92" customFormat="false" ht="15" hidden="false" customHeight="true" outlineLevel="0" collapsed="false">
      <c r="A92" s="1" t="n">
        <v>90</v>
      </c>
    </row>
    <row r="93" customFormat="false" ht="15" hidden="false" customHeight="true" outlineLevel="0" collapsed="false">
      <c r="A93" s="1" t="n">
        <v>91</v>
      </c>
    </row>
    <row r="94" customFormat="false" ht="15" hidden="false" customHeight="true" outlineLevel="0" collapsed="false">
      <c r="A94" s="1" t="n">
        <v>92</v>
      </c>
    </row>
    <row r="95" customFormat="false" ht="15" hidden="false" customHeight="true" outlineLevel="0" collapsed="false">
      <c r="A95" s="1" t="n">
        <v>93</v>
      </c>
    </row>
    <row r="96" customFormat="false" ht="15" hidden="false" customHeight="true" outlineLevel="0" collapsed="false">
      <c r="A96" s="1" t="n">
        <v>94</v>
      </c>
    </row>
    <row r="97" customFormat="false" ht="15" hidden="false" customHeight="true" outlineLevel="0" collapsed="false">
      <c r="A97" s="1" t="n">
        <v>95</v>
      </c>
    </row>
    <row r="98" customFormat="false" ht="15" hidden="false" customHeight="true" outlineLevel="0" collapsed="false">
      <c r="A98" s="1" t="n">
        <v>96</v>
      </c>
    </row>
    <row r="99" customFormat="false" ht="15" hidden="false" customHeight="true" outlineLevel="0" collapsed="false">
      <c r="A99" s="1" t="n">
        <v>97</v>
      </c>
    </row>
    <row r="100" customFormat="false" ht="15" hidden="false" customHeight="true" outlineLevel="0" collapsed="false">
      <c r="A100" s="1" t="n">
        <v>98</v>
      </c>
    </row>
    <row r="101" customFormat="false" ht="15" hidden="false" customHeight="true" outlineLevel="0" collapsed="false">
      <c r="A101" s="1" t="n">
        <v>99</v>
      </c>
    </row>
    <row r="102" customFormat="false" ht="15" hidden="false" customHeight="true" outlineLevel="0" collapsed="false">
      <c r="A102" s="1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true" outlineLevel="0" collapsed="false">
      <c r="C1" s="1" t="s">
        <v>34</v>
      </c>
      <c r="N1" s="3" t="s">
        <v>606</v>
      </c>
    </row>
    <row r="2" customFormat="false" ht="15" hidden="false" customHeight="true" outlineLevel="0" collapsed="false">
      <c r="A2" s="1" t="s">
        <v>95</v>
      </c>
      <c r="C2" s="1" t="n">
        <v>44380</v>
      </c>
      <c r="F2" s="1" t="n">
        <v>6</v>
      </c>
      <c r="H2" s="1" t="n">
        <v>0</v>
      </c>
      <c r="L2" s="1" t="n">
        <v>0</v>
      </c>
      <c r="N2" s="4" t="n">
        <v>0</v>
      </c>
    </row>
    <row r="22" customFormat="false" ht="15" hidden="false" customHeight="true" outlineLevel="0" collapsed="false">
      <c r="D22" s="1" t="s">
        <v>215</v>
      </c>
    </row>
    <row r="23" customFormat="false" ht="15" hidden="false" customHeight="true" outlineLevel="0" collapsed="false">
      <c r="B23" s="1" t="n">
        <v>4</v>
      </c>
      <c r="C23" s="1" t="n">
        <v>3</v>
      </c>
      <c r="E23" s="1" t="n">
        <v>14</v>
      </c>
    </row>
    <row r="24" customFormat="false" ht="15" hidden="false" customHeight="true" outlineLevel="0" collapsed="false">
      <c r="A24" s="1" t="s">
        <v>490</v>
      </c>
      <c r="B24" s="1" t="n">
        <v>1</v>
      </c>
      <c r="C24" s="1" t="n">
        <v>1</v>
      </c>
    </row>
    <row r="25" customFormat="false" ht="15" hidden="false" customHeight="true" outlineLevel="0" collapsed="false">
      <c r="A25" s="1" t="s">
        <v>492</v>
      </c>
      <c r="B25" s="1" t="n">
        <v>1</v>
      </c>
      <c r="E25" s="1" t="n">
        <v>40</v>
      </c>
    </row>
    <row r="26" customFormat="false" ht="15" hidden="false" customHeight="true" outlineLevel="0" collapsed="false">
      <c r="A26" s="1" t="s">
        <v>493</v>
      </c>
      <c r="E26" s="1" t="n">
        <v>53</v>
      </c>
    </row>
    <row r="27" customFormat="false" ht="15" hidden="false" customHeight="true" outlineLevel="0" collapsed="false">
      <c r="A27" s="1" t="s">
        <v>491</v>
      </c>
      <c r="C27" s="1" t="n">
        <v>1</v>
      </c>
      <c r="E27" s="1" t="n">
        <v>90</v>
      </c>
    </row>
    <row r="28" customFormat="false" ht="15" hidden="false" customHeight="true" outlineLevel="0" collapsed="false">
      <c r="E28" s="1" t="n">
        <v>5</v>
      </c>
    </row>
    <row r="29" customFormat="false" ht="15" hidden="false" customHeight="true" outlineLevel="0" collapsed="false">
      <c r="A29" s="1" t="s">
        <v>489</v>
      </c>
      <c r="B29" s="1" t="n">
        <v>4</v>
      </c>
      <c r="C29" s="1" t="n">
        <v>3</v>
      </c>
      <c r="E29" s="1" t="n">
        <v>11</v>
      </c>
    </row>
    <row r="34" customFormat="false" ht="15" hidden="false" customHeight="true" outlineLevel="0" collapsed="false">
      <c r="B34" s="1" t="n">
        <v>3</v>
      </c>
    </row>
    <row r="35" customFormat="false" ht="15" hidden="false" customHeight="true" outlineLevel="0" collapsed="false">
      <c r="A35" s="1" t="s">
        <v>489</v>
      </c>
      <c r="B35" s="1" t="n">
        <v>2</v>
      </c>
    </row>
    <row r="36" customFormat="false" ht="15" hidden="false" customHeight="true" outlineLevel="0" collapsed="false">
      <c r="A36" s="1" t="s">
        <v>490</v>
      </c>
      <c r="B36" s="1" t="n">
        <v>2</v>
      </c>
    </row>
    <row r="37" customFormat="false" ht="15" hidden="false" customHeight="true" outlineLevel="0" collapsed="false">
      <c r="A37" s="1" t="s">
        <v>491</v>
      </c>
      <c r="B37" s="1" t="n">
        <v>1</v>
      </c>
    </row>
    <row r="38" customFormat="false" ht="15" hidden="false" customHeight="true" outlineLevel="0" collapsed="false">
      <c r="A38" s="1" t="s">
        <v>492</v>
      </c>
      <c r="B38" s="1" t="n">
        <v>1</v>
      </c>
    </row>
    <row r="39" customFormat="false" ht="15" hidden="false" customHeight="true" outlineLevel="0" collapsed="false">
      <c r="A39" s="1" t="s">
        <v>493</v>
      </c>
      <c r="B39" s="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4" min="3" style="1" width="16"/>
    <col collapsed="false" customWidth="true" hidden="false" outlineLevel="0" max="5" min="5" style="1" width="28"/>
    <col collapsed="false" customWidth="true" hidden="false" outlineLevel="0" max="7" min="6" style="1" width="20"/>
    <col collapsed="false" customWidth="true" hidden="false" outlineLevel="0" max="8" min="8" style="1" width="8"/>
  </cols>
  <sheetData>
    <row r="1" customFormat="false" ht="24" hidden="false" customHeight="true" outlineLevel="0" collapsed="false">
      <c r="A1" s="8" t="s">
        <v>607</v>
      </c>
      <c r="B1" s="8" t="s">
        <v>1</v>
      </c>
      <c r="C1" s="8" t="s">
        <v>4</v>
      </c>
      <c r="D1" s="8" t="s">
        <v>5</v>
      </c>
      <c r="E1" s="8" t="s">
        <v>486</v>
      </c>
      <c r="F1" s="8" t="s">
        <v>608</v>
      </c>
      <c r="G1" s="8" t="s">
        <v>609</v>
      </c>
      <c r="H1" s="8" t="s">
        <v>610</v>
      </c>
      <c r="I1" s="3" t="s">
        <v>481</v>
      </c>
    </row>
    <row r="2" customFormat="false" ht="15" hidden="false" customHeight="true" outlineLevel="0" collapsed="false">
      <c r="A2" s="9" t="n">
        <v>1</v>
      </c>
      <c r="B2" s="9" t="n">
        <v>2</v>
      </c>
      <c r="C2" s="10"/>
      <c r="D2" s="10" t="s">
        <v>66</v>
      </c>
      <c r="E2" s="10" t="s">
        <v>611</v>
      </c>
      <c r="F2" s="9" t="n">
        <v>72</v>
      </c>
      <c r="G2" s="10" t="s">
        <v>612</v>
      </c>
      <c r="H2" s="9" t="s">
        <v>613</v>
      </c>
      <c r="I2" s="4" t="s">
        <v>613</v>
      </c>
    </row>
    <row r="3" customFormat="false" ht="15" hidden="false" customHeight="true" outlineLevel="0" collapsed="false">
      <c r="A3" s="11" t="n">
        <v>2</v>
      </c>
      <c r="B3" s="11" t="n">
        <v>21</v>
      </c>
      <c r="C3" s="12"/>
      <c r="D3" s="12" t="s">
        <v>489</v>
      </c>
      <c r="E3" s="12" t="s">
        <v>614</v>
      </c>
      <c r="F3" s="11" t="n">
        <v>66</v>
      </c>
      <c r="G3" s="12" t="s">
        <v>612</v>
      </c>
      <c r="H3" s="11" t="s">
        <v>613</v>
      </c>
      <c r="I3" s="4" t="s">
        <v>613</v>
      </c>
    </row>
    <row r="4" customFormat="false" ht="15" hidden="false" customHeight="true" outlineLevel="0" collapsed="false">
      <c r="A4" s="9" t="n">
        <v>3</v>
      </c>
      <c r="B4" s="9" t="n">
        <v>22</v>
      </c>
      <c r="C4" s="10"/>
      <c r="D4" s="10" t="s">
        <v>490</v>
      </c>
      <c r="E4" s="10" t="s">
        <v>615</v>
      </c>
      <c r="F4" s="9" t="n">
        <v>66</v>
      </c>
      <c r="G4" s="10" t="s">
        <v>612</v>
      </c>
      <c r="H4" s="9" t="s">
        <v>613</v>
      </c>
      <c r="I4" s="4" t="s">
        <v>613</v>
      </c>
    </row>
    <row r="5" customFormat="false" ht="15" hidden="false" customHeight="true" outlineLevel="0" collapsed="false">
      <c r="A5" s="11" t="n">
        <v>4</v>
      </c>
      <c r="B5" s="11" t="n">
        <v>23</v>
      </c>
      <c r="C5" s="12"/>
      <c r="D5" s="12" t="s">
        <v>491</v>
      </c>
      <c r="E5" s="12" t="s">
        <v>616</v>
      </c>
      <c r="F5" s="11" t="n">
        <v>60</v>
      </c>
      <c r="G5" s="12" t="s">
        <v>612</v>
      </c>
      <c r="H5" s="11" t="s">
        <v>613</v>
      </c>
      <c r="I5" s="4" t="s">
        <v>613</v>
      </c>
    </row>
    <row r="6" customFormat="false" ht="15" hidden="false" customHeight="true" outlineLevel="0" collapsed="false">
      <c r="A6" s="9" t="n">
        <v>5</v>
      </c>
      <c r="B6" s="9" t="n">
        <v>24</v>
      </c>
      <c r="C6" s="10"/>
      <c r="D6" s="10" t="s">
        <v>492</v>
      </c>
      <c r="E6" s="10" t="s">
        <v>617</v>
      </c>
      <c r="F6" s="9" t="n">
        <v>60</v>
      </c>
      <c r="G6" s="10" t="s">
        <v>612</v>
      </c>
      <c r="H6" s="9" t="s">
        <v>613</v>
      </c>
      <c r="I6" s="4" t="s">
        <v>613</v>
      </c>
    </row>
    <row r="7" customFormat="false" ht="15" hidden="false" customHeight="true" outlineLevel="0" collapsed="false">
      <c r="A7" s="11" t="n">
        <v>6</v>
      </c>
      <c r="B7" s="11" t="n">
        <v>25</v>
      </c>
      <c r="C7" s="12"/>
      <c r="D7" s="12" t="s">
        <v>493</v>
      </c>
      <c r="E7" s="12" t="s">
        <v>618</v>
      </c>
      <c r="F7" s="11" t="n">
        <v>60</v>
      </c>
      <c r="G7" s="12" t="s">
        <v>612</v>
      </c>
      <c r="H7" s="11" t="s">
        <v>613</v>
      </c>
      <c r="I7" s="4" t="s">
        <v>613</v>
      </c>
    </row>
    <row r="8" customFormat="false" ht="15" hidden="false" customHeight="true" outlineLevel="0" collapsed="false">
      <c r="A8" s="9" t="n">
        <v>7</v>
      </c>
      <c r="B8" s="9" t="n">
        <v>4</v>
      </c>
      <c r="C8" s="10"/>
      <c r="D8" s="10"/>
      <c r="E8" s="10" t="s">
        <v>619</v>
      </c>
      <c r="F8" s="9" t="n">
        <v>50</v>
      </c>
      <c r="G8" s="10" t="s">
        <v>620</v>
      </c>
      <c r="H8" s="9" t="s">
        <v>613</v>
      </c>
      <c r="I8" s="4" t="s">
        <v>621</v>
      </c>
    </row>
    <row r="9" customFormat="false" ht="15" hidden="false" customHeight="true" outlineLevel="0" collapsed="false">
      <c r="A9" s="11" t="n">
        <v>8</v>
      </c>
      <c r="B9" s="11" t="n">
        <v>6</v>
      </c>
      <c r="C9" s="12"/>
      <c r="D9" s="12" t="s">
        <v>512</v>
      </c>
      <c r="E9" s="12" t="s">
        <v>619</v>
      </c>
      <c r="F9" s="11" t="n">
        <v>50</v>
      </c>
      <c r="G9" s="12" t="s">
        <v>620</v>
      </c>
      <c r="H9" s="11" t="s">
        <v>613</v>
      </c>
      <c r="I9" s="4" t="s">
        <v>621</v>
      </c>
    </row>
    <row r="10" customFormat="false" ht="15" hidden="false" customHeight="true" outlineLevel="0" collapsed="false">
      <c r="A10" s="9" t="n">
        <v>9</v>
      </c>
      <c r="B10" s="9" t="n">
        <v>9</v>
      </c>
      <c r="C10" s="10"/>
      <c r="D10" s="10" t="s">
        <v>519</v>
      </c>
      <c r="E10" s="10" t="s">
        <v>619</v>
      </c>
      <c r="F10" s="9" t="n">
        <v>50</v>
      </c>
      <c r="G10" s="10" t="s">
        <v>620</v>
      </c>
      <c r="H10" s="9" t="s">
        <v>613</v>
      </c>
      <c r="I10" s="4" t="s">
        <v>621</v>
      </c>
    </row>
    <row r="11" customFormat="false" ht="15" hidden="false" customHeight="true" outlineLevel="0" collapsed="false">
      <c r="A11" s="11" t="n">
        <v>10</v>
      </c>
      <c r="B11" s="11" t="n">
        <v>10</v>
      </c>
      <c r="C11" s="12"/>
      <c r="D11" s="12"/>
      <c r="E11" s="12" t="s">
        <v>622</v>
      </c>
      <c r="F11" s="11" t="n">
        <v>50</v>
      </c>
      <c r="G11" s="12" t="s">
        <v>620</v>
      </c>
      <c r="H11" s="11" t="s">
        <v>613</v>
      </c>
      <c r="I11" s="4" t="s">
        <v>621</v>
      </c>
    </row>
    <row r="12" customFormat="false" ht="15" hidden="false" customHeight="true" outlineLevel="0" collapsed="false">
      <c r="A12" s="9" t="n">
        <v>11</v>
      </c>
      <c r="B12" s="9" t="n">
        <v>14</v>
      </c>
      <c r="C12" s="10"/>
      <c r="D12" s="10"/>
      <c r="E12" s="10" t="s">
        <v>622</v>
      </c>
      <c r="F12" s="9" t="n">
        <v>50</v>
      </c>
      <c r="G12" s="10" t="s">
        <v>620</v>
      </c>
      <c r="H12" s="9" t="s">
        <v>613</v>
      </c>
      <c r="I12" s="4" t="s">
        <v>621</v>
      </c>
    </row>
    <row r="13" customFormat="false" ht="15" hidden="false" customHeight="true" outlineLevel="0" collapsed="false">
      <c r="A13" s="11" t="n">
        <v>12</v>
      </c>
      <c r="B13" s="11" t="n">
        <v>5</v>
      </c>
      <c r="C13" s="12"/>
      <c r="D13" s="12"/>
      <c r="E13" s="12" t="s">
        <v>622</v>
      </c>
      <c r="F13" s="11" t="n">
        <v>50</v>
      </c>
      <c r="G13" s="12" t="s">
        <v>620</v>
      </c>
      <c r="H13" s="11" t="s">
        <v>613</v>
      </c>
      <c r="I13" s="4" t="s">
        <v>621</v>
      </c>
    </row>
    <row r="14" customFormat="false" ht="15" hidden="false" customHeight="true" outlineLevel="0" collapsed="false">
      <c r="A14" s="9" t="n">
        <v>13</v>
      </c>
      <c r="B14" s="9"/>
      <c r="C14" s="10"/>
      <c r="D14" s="10"/>
      <c r="E14" s="10" t="s">
        <v>623</v>
      </c>
      <c r="F14" s="9" t="n">
        <v>50</v>
      </c>
      <c r="G14" s="10" t="s">
        <v>624</v>
      </c>
      <c r="H14" s="9" t="s">
        <v>613</v>
      </c>
      <c r="I14" s="4" t="s">
        <v>621</v>
      </c>
    </row>
    <row r="15" customFormat="false" ht="15" hidden="false" customHeight="true" outlineLevel="0" collapsed="false">
      <c r="A15" s="11" t="n">
        <v>14</v>
      </c>
      <c r="B15" s="11"/>
      <c r="C15" s="12"/>
      <c r="D15" s="12"/>
      <c r="E15" s="12" t="s">
        <v>623</v>
      </c>
      <c r="F15" s="11" t="n">
        <v>50</v>
      </c>
      <c r="G15" s="12" t="s">
        <v>624</v>
      </c>
      <c r="H15" s="11" t="s">
        <v>613</v>
      </c>
      <c r="I15" s="4" t="s">
        <v>621</v>
      </c>
    </row>
    <row r="16" customFormat="false" ht="15" hidden="false" customHeight="true" outlineLevel="0" collapsed="false">
      <c r="A16" s="9" t="n">
        <v>15</v>
      </c>
      <c r="B16" s="9"/>
      <c r="C16" s="10"/>
      <c r="D16" s="10"/>
      <c r="E16" s="10" t="s">
        <v>623</v>
      </c>
      <c r="F16" s="9" t="n">
        <v>50</v>
      </c>
      <c r="G16" s="10" t="s">
        <v>624</v>
      </c>
      <c r="H16" s="9" t="s">
        <v>613</v>
      </c>
      <c r="I16" s="4" t="s">
        <v>621</v>
      </c>
    </row>
    <row r="17" customFormat="false" ht="15" hidden="false" customHeight="true" outlineLevel="0" collapsed="false">
      <c r="A17" s="11" t="n">
        <v>16</v>
      </c>
      <c r="B17" s="11"/>
      <c r="C17" s="12"/>
      <c r="D17" s="12"/>
      <c r="E17" s="12" t="s">
        <v>625</v>
      </c>
      <c r="F17" s="11" t="n">
        <v>50</v>
      </c>
      <c r="G17" s="12" t="s">
        <v>626</v>
      </c>
      <c r="H17" s="11" t="s">
        <v>613</v>
      </c>
      <c r="I17" s="4" t="s">
        <v>621</v>
      </c>
    </row>
    <row r="18" customFormat="false" ht="15" hidden="false" customHeight="true" outlineLevel="0" collapsed="false">
      <c r="A18" s="9" t="n">
        <v>17</v>
      </c>
      <c r="B18" s="9"/>
      <c r="C18" s="10"/>
      <c r="D18" s="10"/>
      <c r="E18" s="10" t="s">
        <v>625</v>
      </c>
      <c r="F18" s="9" t="n">
        <v>50</v>
      </c>
      <c r="G18" s="10" t="s">
        <v>626</v>
      </c>
      <c r="H18" s="9" t="s">
        <v>613</v>
      </c>
      <c r="I18" s="4" t="s">
        <v>621</v>
      </c>
    </row>
    <row r="19" customFormat="false" ht="15" hidden="false" customHeight="true" outlineLevel="0" collapsed="false">
      <c r="A19" s="11" t="n">
        <v>18</v>
      </c>
      <c r="B19" s="11"/>
      <c r="C19" s="12"/>
      <c r="D19" s="12"/>
      <c r="E19" s="12" t="s">
        <v>625</v>
      </c>
      <c r="F19" s="11" t="n">
        <v>50</v>
      </c>
      <c r="G19" s="12" t="s">
        <v>626</v>
      </c>
      <c r="H19" s="11" t="s">
        <v>613</v>
      </c>
      <c r="I19" s="4" t="s">
        <v>621</v>
      </c>
    </row>
    <row r="20" customFormat="false" ht="15" hidden="false" customHeight="true" outlineLevel="0" collapsed="false">
      <c r="A20" s="9" t="n">
        <v>19</v>
      </c>
      <c r="B20" s="9"/>
      <c r="C20" s="10" t="s">
        <v>531</v>
      </c>
      <c r="D20" s="10" t="s">
        <v>532</v>
      </c>
      <c r="E20" s="10" t="s">
        <v>627</v>
      </c>
      <c r="F20" s="9" t="n">
        <v>55</v>
      </c>
      <c r="G20" s="10" t="s">
        <v>620</v>
      </c>
      <c r="H20" s="9" t="s">
        <v>613</v>
      </c>
      <c r="I20" s="4" t="s">
        <v>621</v>
      </c>
    </row>
    <row r="21" customFormat="false" ht="15" hidden="false" customHeight="true" outlineLevel="0" collapsed="false">
      <c r="A21" s="11" t="n">
        <v>20</v>
      </c>
      <c r="B21" s="11"/>
      <c r="C21" s="12" t="s">
        <v>534</v>
      </c>
      <c r="D21" s="12" t="s">
        <v>535</v>
      </c>
      <c r="E21" s="12" t="s">
        <v>627</v>
      </c>
      <c r="F21" s="11" t="n">
        <v>55</v>
      </c>
      <c r="G21" s="12" t="s">
        <v>620</v>
      </c>
      <c r="H21" s="11" t="s">
        <v>613</v>
      </c>
      <c r="I21" s="4" t="s">
        <v>621</v>
      </c>
    </row>
    <row r="22" customFormat="false" ht="15" hidden="false" customHeight="true" outlineLevel="0" collapsed="false">
      <c r="A22" s="9" t="n">
        <v>21</v>
      </c>
      <c r="B22" s="9" t="n">
        <v>11</v>
      </c>
      <c r="C22" s="10"/>
      <c r="D22" s="10"/>
      <c r="E22" s="10" t="s">
        <v>628</v>
      </c>
      <c r="F22" s="9" t="n">
        <v>55</v>
      </c>
      <c r="G22" s="10" t="s">
        <v>629</v>
      </c>
      <c r="H22" s="9" t="s">
        <v>613</v>
      </c>
      <c r="I22" s="4" t="s">
        <v>621</v>
      </c>
    </row>
    <row r="23" customFormat="false" ht="15" hidden="false" customHeight="true" outlineLevel="0" collapsed="false">
      <c r="A23" s="11" t="n">
        <v>22</v>
      </c>
      <c r="B23" s="11" t="n">
        <v>5</v>
      </c>
      <c r="C23" s="12"/>
      <c r="D23" s="12"/>
      <c r="E23" s="12" t="s">
        <v>630</v>
      </c>
      <c r="F23" s="11" t="n">
        <v>55</v>
      </c>
      <c r="G23" s="12" t="s">
        <v>624</v>
      </c>
      <c r="H23" s="11" t="s">
        <v>613</v>
      </c>
      <c r="I23" s="4" t="s">
        <v>621</v>
      </c>
    </row>
    <row r="24" customFormat="false" ht="15" hidden="false" customHeight="true" outlineLevel="0" collapsed="false">
      <c r="A24" s="9" t="n">
        <v>23</v>
      </c>
      <c r="B24" s="9"/>
      <c r="C24" s="10"/>
      <c r="D24" s="10"/>
      <c r="E24" s="10" t="s">
        <v>117</v>
      </c>
      <c r="F24" s="9" t="n">
        <v>18.6</v>
      </c>
      <c r="G24" s="10" t="s">
        <v>620</v>
      </c>
      <c r="H24" s="9" t="s">
        <v>613</v>
      </c>
      <c r="I24" s="4" t="s">
        <v>621</v>
      </c>
    </row>
    <row r="25" customFormat="false" ht="15" hidden="false" customHeight="true" outlineLevel="0" collapsed="false">
      <c r="A25" s="11" t="n">
        <v>24</v>
      </c>
      <c r="B25" s="11"/>
      <c r="C25" s="12"/>
      <c r="D25" s="12"/>
      <c r="E25" s="12" t="s">
        <v>117</v>
      </c>
      <c r="F25" s="11" t="n">
        <v>18.6</v>
      </c>
      <c r="G25" s="12" t="s">
        <v>620</v>
      </c>
      <c r="H25" s="11" t="s">
        <v>613</v>
      </c>
      <c r="I25" s="4" t="s">
        <v>621</v>
      </c>
    </row>
    <row r="26" customFormat="false" ht="15" hidden="false" customHeight="true" outlineLevel="0" collapsed="false">
      <c r="A26" s="9" t="n">
        <v>25</v>
      </c>
      <c r="B26" s="9"/>
      <c r="C26" s="10"/>
      <c r="D26" s="10"/>
      <c r="E26" s="10" t="s">
        <v>117</v>
      </c>
      <c r="F26" s="9" t="n">
        <v>18.6</v>
      </c>
      <c r="G26" s="10" t="s">
        <v>631</v>
      </c>
      <c r="H26" s="9" t="s">
        <v>613</v>
      </c>
      <c r="I26" s="4" t="s">
        <v>621</v>
      </c>
    </row>
    <row r="27" customFormat="false" ht="15" hidden="false" customHeight="true" outlineLevel="0" collapsed="false">
      <c r="A27" s="11" t="n">
        <v>26</v>
      </c>
      <c r="B27" s="11"/>
      <c r="C27" s="12"/>
      <c r="D27" s="12"/>
      <c r="E27" s="12" t="s">
        <v>632</v>
      </c>
      <c r="F27" s="11" t="n">
        <v>40</v>
      </c>
      <c r="G27" s="12" t="s">
        <v>620</v>
      </c>
      <c r="H27" s="11" t="s">
        <v>613</v>
      </c>
      <c r="I27" s="4" t="s">
        <v>621</v>
      </c>
    </row>
    <row r="28" customFormat="false" ht="15" hidden="false" customHeight="true" outlineLevel="0" collapsed="false">
      <c r="A28" s="9" t="n">
        <v>27</v>
      </c>
      <c r="B28" s="9"/>
      <c r="C28" s="10"/>
      <c r="D28" s="10"/>
      <c r="E28" s="10" t="s">
        <v>632</v>
      </c>
      <c r="F28" s="9" t="n">
        <v>40</v>
      </c>
      <c r="G28" s="10" t="s">
        <v>620</v>
      </c>
      <c r="H28" s="9" t="s">
        <v>613</v>
      </c>
      <c r="I28" s="4" t="s">
        <v>621</v>
      </c>
    </row>
    <row r="29" customFormat="false" ht="15" hidden="false" customHeight="true" outlineLevel="0" collapsed="false">
      <c r="A29" s="11" t="n">
        <v>28</v>
      </c>
      <c r="B29" s="11"/>
      <c r="C29" s="12"/>
      <c r="D29" s="12"/>
      <c r="E29" s="12" t="s">
        <v>632</v>
      </c>
      <c r="F29" s="11" t="n">
        <v>40</v>
      </c>
      <c r="G29" s="12" t="s">
        <v>620</v>
      </c>
      <c r="H29" s="11" t="s">
        <v>613</v>
      </c>
      <c r="I29" s="4" t="s">
        <v>621</v>
      </c>
    </row>
    <row r="30" customFormat="false" ht="15" hidden="false" customHeight="true" outlineLevel="0" collapsed="false">
      <c r="A30" s="9" t="n">
        <v>29</v>
      </c>
      <c r="B30" s="9"/>
      <c r="C30" s="10"/>
      <c r="D30" s="10"/>
      <c r="E30" s="10" t="s">
        <v>633</v>
      </c>
      <c r="F30" s="9" t="n">
        <v>50</v>
      </c>
      <c r="G30" s="10" t="s">
        <v>620</v>
      </c>
      <c r="H30" s="9" t="s">
        <v>613</v>
      </c>
      <c r="I30" s="4" t="s">
        <v>621</v>
      </c>
    </row>
    <row r="31" customFormat="false" ht="15" hidden="false" customHeight="true" outlineLevel="0" collapsed="false">
      <c r="A31" s="11" t="n">
        <v>30</v>
      </c>
      <c r="B31" s="11"/>
      <c r="C31" s="12"/>
      <c r="D31" s="12"/>
      <c r="E31" s="12" t="s">
        <v>633</v>
      </c>
      <c r="F31" s="11" t="n">
        <v>50</v>
      </c>
      <c r="G31" s="12" t="s">
        <v>620</v>
      </c>
      <c r="H31" s="11" t="s">
        <v>613</v>
      </c>
      <c r="I31" s="4" t="s">
        <v>621</v>
      </c>
    </row>
    <row r="32" customFormat="false" ht="15" hidden="false" customHeight="true" outlineLevel="0" collapsed="false">
      <c r="A32" s="9" t="n">
        <v>31</v>
      </c>
      <c r="B32" s="9"/>
      <c r="C32" s="10"/>
      <c r="D32" s="10"/>
      <c r="E32" s="10" t="s">
        <v>634</v>
      </c>
      <c r="F32" s="9" t="n">
        <v>55</v>
      </c>
      <c r="G32" s="10" t="s">
        <v>620</v>
      </c>
      <c r="H32" s="9" t="s">
        <v>613</v>
      </c>
      <c r="I32" s="4" t="s">
        <v>621</v>
      </c>
    </row>
    <row r="33" customFormat="false" ht="15" hidden="false" customHeight="true" outlineLevel="0" collapsed="false">
      <c r="A33" s="11" t="n">
        <v>32</v>
      </c>
      <c r="B33" s="11"/>
      <c r="C33" s="12"/>
      <c r="D33" s="12"/>
      <c r="E33" s="12" t="s">
        <v>634</v>
      </c>
      <c r="F33" s="11" t="n">
        <v>55</v>
      </c>
      <c r="G33" s="12" t="s">
        <v>620</v>
      </c>
      <c r="H33" s="11" t="s">
        <v>613</v>
      </c>
      <c r="I33" s="4" t="s">
        <v>621</v>
      </c>
    </row>
    <row r="34" customFormat="false" ht="15" hidden="false" customHeight="true" outlineLevel="0" collapsed="false">
      <c r="A34" s="9" t="n">
        <v>33</v>
      </c>
      <c r="B34" s="9"/>
      <c r="C34" s="10"/>
      <c r="D34" s="10"/>
      <c r="E34" s="10" t="s">
        <v>634</v>
      </c>
      <c r="F34" s="9" t="n">
        <v>55</v>
      </c>
      <c r="G34" s="10" t="s">
        <v>624</v>
      </c>
      <c r="H34" s="9" t="s">
        <v>613</v>
      </c>
      <c r="I34" s="4" t="s">
        <v>621</v>
      </c>
    </row>
    <row r="35" customFormat="false" ht="15" hidden="false" customHeight="true" outlineLevel="0" collapsed="false">
      <c r="A35" s="11" t="n">
        <v>34</v>
      </c>
      <c r="B35" s="11"/>
      <c r="C35" s="12"/>
      <c r="D35" s="12"/>
      <c r="E35" s="12" t="s">
        <v>635</v>
      </c>
      <c r="F35" s="11" t="n">
        <v>40</v>
      </c>
      <c r="G35" s="12" t="s">
        <v>620</v>
      </c>
      <c r="H35" s="11" t="s">
        <v>613</v>
      </c>
      <c r="I35" s="4" t="s">
        <v>621</v>
      </c>
    </row>
    <row r="36" customFormat="false" ht="15" hidden="false" customHeight="true" outlineLevel="0" collapsed="false">
      <c r="A36" s="9" t="n">
        <v>35</v>
      </c>
      <c r="B36" s="9"/>
      <c r="C36" s="10"/>
      <c r="D36" s="10"/>
      <c r="E36" s="10" t="s">
        <v>635</v>
      </c>
      <c r="F36" s="9" t="n">
        <v>40</v>
      </c>
      <c r="G36" s="10" t="s">
        <v>620</v>
      </c>
      <c r="H36" s="9" t="s">
        <v>613</v>
      </c>
      <c r="I36" s="4" t="s">
        <v>621</v>
      </c>
    </row>
    <row r="37" customFormat="false" ht="15" hidden="false" customHeight="true" outlineLevel="0" collapsed="false">
      <c r="A37" s="11" t="n">
        <v>36</v>
      </c>
      <c r="B37" s="11"/>
      <c r="C37" s="12"/>
      <c r="D37" s="12"/>
      <c r="E37" s="12" t="s">
        <v>635</v>
      </c>
      <c r="F37" s="11" t="n">
        <v>40</v>
      </c>
      <c r="G37" s="12" t="s">
        <v>624</v>
      </c>
      <c r="H37" s="11" t="s">
        <v>613</v>
      </c>
      <c r="I37" s="4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4"/>
  </cols>
  <sheetData>
    <row r="1" customFormat="false" ht="15" hidden="false" customHeight="true" outlineLevel="0" collapsed="false">
      <c r="A1" s="13" t="s">
        <v>8</v>
      </c>
      <c r="B1" s="13" t="s">
        <v>321</v>
      </c>
      <c r="C1" s="13" t="s">
        <v>636</v>
      </c>
      <c r="D1" s="13" t="s">
        <v>637</v>
      </c>
      <c r="E1" s="13" t="s">
        <v>638</v>
      </c>
      <c r="F1" s="13" t="s">
        <v>639</v>
      </c>
      <c r="G1" s="13" t="s">
        <v>640</v>
      </c>
    </row>
    <row r="2" customFormat="false" ht="15" hidden="false" customHeight="true" outlineLevel="0" collapsed="false">
      <c r="A2" s="4" t="n">
        <v>2023</v>
      </c>
      <c r="B2" s="4" t="n">
        <v>2</v>
      </c>
      <c r="C2" s="4" t="s">
        <v>641</v>
      </c>
      <c r="D2" s="4" t="n">
        <v>5.7</v>
      </c>
      <c r="E2" s="4" t="n">
        <v>146.17</v>
      </c>
      <c r="F2" s="4" t="n">
        <v>8</v>
      </c>
      <c r="G2" s="4" t="n">
        <v>18.27</v>
      </c>
    </row>
    <row r="3" customFormat="false" ht="15" hidden="false" customHeight="true" outlineLevel="0" collapsed="false">
      <c r="A3" s="4" t="n">
        <v>2023</v>
      </c>
      <c r="B3" s="4" t="n">
        <v>3</v>
      </c>
      <c r="C3" s="4" t="s">
        <v>642</v>
      </c>
      <c r="D3" s="4" t="n">
        <v>4.2</v>
      </c>
      <c r="E3" s="4" t="n">
        <v>120.73</v>
      </c>
      <c r="F3" s="4" t="n">
        <v>9</v>
      </c>
      <c r="G3" s="4" t="n">
        <v>13.41</v>
      </c>
    </row>
    <row r="4" customFormat="false" ht="15" hidden="false" customHeight="true" outlineLevel="0" collapsed="false">
      <c r="A4" s="4" t="n">
        <v>2023</v>
      </c>
      <c r="B4" s="4" t="n">
        <v>4</v>
      </c>
      <c r="C4" s="4" t="s">
        <v>643</v>
      </c>
      <c r="D4" s="4" t="n">
        <v>6.84</v>
      </c>
      <c r="E4" s="4" t="n">
        <v>139.53</v>
      </c>
      <c r="F4" s="4" t="n">
        <v>12</v>
      </c>
      <c r="G4" s="4" t="n">
        <v>11.63</v>
      </c>
    </row>
    <row r="5" customFormat="false" ht="15" hidden="false" customHeight="true" outlineLevel="0" collapsed="false">
      <c r="A5" s="4" t="n">
        <v>2023</v>
      </c>
      <c r="B5" s="4" t="n">
        <v>5</v>
      </c>
      <c r="C5" s="4" t="s">
        <v>644</v>
      </c>
      <c r="D5" s="4" t="n">
        <v>6.05</v>
      </c>
      <c r="E5" s="4" t="n">
        <v>83.03</v>
      </c>
      <c r="F5" s="4" t="n">
        <v>8</v>
      </c>
      <c r="G5" s="4" t="n">
        <v>10.38</v>
      </c>
    </row>
    <row r="6" customFormat="false" ht="15" hidden="false" customHeight="true" outlineLevel="0" collapsed="false">
      <c r="A6" s="4" t="n">
        <v>2023</v>
      </c>
      <c r="B6" s="4" t="n">
        <v>6</v>
      </c>
      <c r="C6" s="4" t="s">
        <v>645</v>
      </c>
      <c r="D6" s="4" t="n">
        <v>5.58</v>
      </c>
      <c r="E6" s="4" t="n">
        <v>104.53</v>
      </c>
      <c r="F6" s="4" t="n">
        <v>12</v>
      </c>
      <c r="G6" s="4" t="n">
        <v>8.71</v>
      </c>
    </row>
    <row r="7" customFormat="false" ht="15" hidden="false" customHeight="true" outlineLevel="0" collapsed="false">
      <c r="A7" s="4" t="n">
        <v>2023</v>
      </c>
      <c r="B7" s="4" t="n">
        <v>7</v>
      </c>
      <c r="C7" s="4" t="s">
        <v>646</v>
      </c>
      <c r="D7" s="4" t="n">
        <v>5.89</v>
      </c>
      <c r="E7" s="4" t="n">
        <v>238.37</v>
      </c>
      <c r="F7" s="4" t="n">
        <v>13</v>
      </c>
      <c r="G7" s="4" t="n">
        <v>18.34</v>
      </c>
    </row>
    <row r="8" customFormat="false" ht="15" hidden="false" customHeight="true" outlineLevel="0" collapsed="false">
      <c r="A8" s="4" t="n">
        <v>2023</v>
      </c>
      <c r="B8" s="4" t="n">
        <v>8</v>
      </c>
      <c r="C8" s="4" t="s">
        <v>647</v>
      </c>
      <c r="D8" s="4" t="n">
        <v>7.48</v>
      </c>
      <c r="E8" s="4" t="n">
        <v>234.93</v>
      </c>
      <c r="F8" s="4" t="n">
        <v>11</v>
      </c>
      <c r="G8" s="4" t="n">
        <v>21.36</v>
      </c>
    </row>
    <row r="9" customFormat="false" ht="15" hidden="false" customHeight="true" outlineLevel="0" collapsed="false">
      <c r="A9" s="4" t="n">
        <v>2023</v>
      </c>
      <c r="B9" s="4" t="n">
        <v>9</v>
      </c>
      <c r="C9" s="4" t="s">
        <v>648</v>
      </c>
      <c r="D9" s="4" t="n">
        <v>9.91</v>
      </c>
      <c r="E9" s="4" t="n">
        <v>257.28</v>
      </c>
      <c r="F9" s="4" t="n">
        <v>8</v>
      </c>
      <c r="G9" s="4" t="n">
        <v>32.16</v>
      </c>
    </row>
    <row r="10" customFormat="false" ht="15" hidden="false" customHeight="true" outlineLevel="0" collapsed="false">
      <c r="A10" s="4" t="n">
        <v>2023</v>
      </c>
      <c r="B10" s="4" t="n">
        <v>10</v>
      </c>
      <c r="C10" s="4" t="s">
        <v>649</v>
      </c>
      <c r="D10" s="4" t="n">
        <v>7.14</v>
      </c>
      <c r="E10" s="4" t="n">
        <v>179.27</v>
      </c>
      <c r="F10" s="4" t="n">
        <v>11</v>
      </c>
      <c r="G10" s="4" t="n">
        <v>16.3</v>
      </c>
    </row>
    <row r="11" customFormat="false" ht="15" hidden="false" customHeight="true" outlineLevel="0" collapsed="false">
      <c r="A11" s="4" t="n">
        <v>2023</v>
      </c>
      <c r="B11" s="4" t="n">
        <v>11</v>
      </c>
      <c r="C11" s="4" t="s">
        <v>650</v>
      </c>
      <c r="D11" s="4" t="n">
        <v>7.6</v>
      </c>
      <c r="E11" s="4" t="n">
        <v>131.87</v>
      </c>
      <c r="F11" s="4" t="n">
        <v>10</v>
      </c>
      <c r="G11" s="4" t="n">
        <v>13.19</v>
      </c>
    </row>
    <row r="12" customFormat="false" ht="15" hidden="false" customHeight="true" outlineLevel="0" collapsed="false">
      <c r="A12" s="4" t="n">
        <v>2023</v>
      </c>
      <c r="B12" s="4" t="n">
        <v>12</v>
      </c>
      <c r="C12" s="4" t="s">
        <v>651</v>
      </c>
      <c r="D12" s="4" t="n">
        <v>9.2</v>
      </c>
      <c r="E12" s="4" t="n">
        <v>317.33</v>
      </c>
      <c r="F12" s="4" t="n">
        <v>10</v>
      </c>
      <c r="G12" s="4" t="n">
        <v>31.73</v>
      </c>
    </row>
    <row r="13" customFormat="false" ht="15" hidden="false" customHeight="true" outlineLevel="0" collapsed="false">
      <c r="A13" s="4" t="n">
        <v>2024</v>
      </c>
      <c r="B13" s="4" t="n">
        <v>1</v>
      </c>
      <c r="C13" s="4" t="s">
        <v>652</v>
      </c>
      <c r="D13" s="4" t="n">
        <v>10.8</v>
      </c>
      <c r="E13" s="4" t="n">
        <v>274.61</v>
      </c>
      <c r="F13" s="4" t="n">
        <v>8</v>
      </c>
      <c r="G13" s="4" t="n">
        <v>34.33</v>
      </c>
    </row>
    <row r="14" customFormat="false" ht="15" hidden="false" customHeight="true" outlineLevel="0" collapsed="false">
      <c r="A14" s="4" t="n">
        <v>2024</v>
      </c>
      <c r="B14" s="4" t="n">
        <v>2</v>
      </c>
      <c r="C14" s="4" t="s">
        <v>653</v>
      </c>
      <c r="D14" s="4" t="n">
        <v>10.94</v>
      </c>
      <c r="E14" s="4" t="n">
        <v>202.32</v>
      </c>
      <c r="F14" s="4" t="n">
        <v>11</v>
      </c>
      <c r="G14" s="4" t="n">
        <v>18.39</v>
      </c>
    </row>
    <row r="15" customFormat="false" ht="15" hidden="false" customHeight="true" outlineLevel="0" collapsed="false">
      <c r="A15" s="4" t="n">
        <v>2024</v>
      </c>
      <c r="B15" s="4" t="n">
        <v>3</v>
      </c>
      <c r="C15" s="4" t="s">
        <v>654</v>
      </c>
      <c r="D15" s="4" t="n">
        <v>10.21</v>
      </c>
      <c r="E15" s="4" t="n">
        <v>387.92</v>
      </c>
      <c r="F15" s="4" t="n">
        <v>13</v>
      </c>
      <c r="G15" s="4" t="n">
        <v>29.84</v>
      </c>
    </row>
    <row r="16" customFormat="false" ht="15" hidden="false" customHeight="true" outlineLevel="0" collapsed="false">
      <c r="A16" s="4" t="n">
        <v>2024</v>
      </c>
      <c r="B16" s="4" t="n">
        <v>4</v>
      </c>
      <c r="C16" s="4" t="s">
        <v>655</v>
      </c>
      <c r="D16" s="4" t="n">
        <v>13.53</v>
      </c>
      <c r="E16" s="4" t="n">
        <v>315.35</v>
      </c>
      <c r="F16" s="4" t="n">
        <v>12</v>
      </c>
      <c r="G16" s="4" t="n">
        <v>26.28</v>
      </c>
    </row>
    <row r="17" customFormat="false" ht="15" hidden="false" customHeight="true" outlineLevel="0" collapsed="false">
      <c r="A17" s="4" t="n">
        <v>2024</v>
      </c>
      <c r="B17" s="4" t="n">
        <v>5</v>
      </c>
      <c r="C17" s="4" t="s">
        <v>656</v>
      </c>
      <c r="D17" s="4" t="n">
        <v>10.05</v>
      </c>
      <c r="E17" s="4" t="n">
        <v>264.46</v>
      </c>
      <c r="F17" s="4" t="n">
        <v>13</v>
      </c>
      <c r="G17" s="4" t="n">
        <v>20.34</v>
      </c>
    </row>
    <row r="18" customFormat="false" ht="15" hidden="false" customHeight="true" outlineLevel="0" collapsed="false">
      <c r="A18" s="4" t="n">
        <v>2024</v>
      </c>
      <c r="B18" s="4" t="n">
        <v>6</v>
      </c>
      <c r="C18" s="4" t="s">
        <v>657</v>
      </c>
      <c r="D18" s="4" t="n">
        <v>11.63</v>
      </c>
      <c r="E18" s="4" t="n">
        <v>322.59</v>
      </c>
      <c r="F18" s="4" t="n">
        <v>8</v>
      </c>
      <c r="G18" s="4" t="n">
        <v>40.32</v>
      </c>
    </row>
    <row r="19" customFormat="false" ht="15" hidden="false" customHeight="true" outlineLevel="0" collapsed="false">
      <c r="A19" s="4" t="n">
        <v>2024</v>
      </c>
      <c r="B19" s="4" t="n">
        <v>7</v>
      </c>
      <c r="C19" s="4" t="s">
        <v>658</v>
      </c>
      <c r="D19" s="4" t="n">
        <v>14.99</v>
      </c>
      <c r="E19" s="4" t="n">
        <v>352.76</v>
      </c>
      <c r="F19" s="4" t="n">
        <v>11</v>
      </c>
      <c r="G19" s="4" t="n">
        <v>32.07</v>
      </c>
    </row>
    <row r="20" customFormat="false" ht="15" hidden="false" customHeight="true" outlineLevel="0" collapsed="false">
      <c r="A20" s="4" t="n">
        <v>2024</v>
      </c>
      <c r="B20" s="4" t="n">
        <v>8</v>
      </c>
      <c r="C20" s="4" t="s">
        <v>659</v>
      </c>
      <c r="D20" s="4" t="n">
        <v>14.32</v>
      </c>
      <c r="E20" s="4" t="n">
        <v>268.37</v>
      </c>
      <c r="F20" s="4" t="n">
        <v>10</v>
      </c>
      <c r="G20" s="4" t="n">
        <v>26.84</v>
      </c>
    </row>
    <row r="21" customFormat="false" ht="15" hidden="false" customHeight="true" outlineLevel="0" collapsed="false">
      <c r="A21" s="4" t="n">
        <v>2024</v>
      </c>
      <c r="B21" s="4" t="n">
        <v>9</v>
      </c>
      <c r="C21" s="4" t="s">
        <v>660</v>
      </c>
      <c r="D21" s="4" t="n">
        <v>13.4</v>
      </c>
      <c r="E21" s="4" t="n">
        <v>368.27</v>
      </c>
      <c r="F21" s="4" t="n">
        <v>13</v>
      </c>
      <c r="G21" s="4" t="n">
        <v>28.33</v>
      </c>
    </row>
    <row r="22" customFormat="false" ht="15" hidden="false" customHeight="true" outlineLevel="0" collapsed="false">
      <c r="A22" s="4" t="n">
        <v>2024</v>
      </c>
      <c r="B22" s="4" t="n">
        <v>10</v>
      </c>
      <c r="C22" s="4" t="s">
        <v>661</v>
      </c>
      <c r="D22" s="4" t="n">
        <v>16.78</v>
      </c>
      <c r="E22" s="4" t="n">
        <v>363.03</v>
      </c>
      <c r="F22" s="4" t="n">
        <v>13</v>
      </c>
      <c r="G22" s="4" t="n">
        <v>27.93</v>
      </c>
    </row>
    <row r="23" customFormat="false" ht="15" hidden="false" customHeight="true" outlineLevel="0" collapsed="false">
      <c r="A23" s="4" t="n">
        <v>2024</v>
      </c>
      <c r="B23" s="4" t="n">
        <v>11</v>
      </c>
      <c r="C23" s="4" t="s">
        <v>662</v>
      </c>
      <c r="D23" s="4" t="n">
        <v>15.75</v>
      </c>
      <c r="E23" s="4" t="n">
        <v>600.45</v>
      </c>
      <c r="F23" s="4" t="n">
        <v>12</v>
      </c>
      <c r="G23" s="4" t="n">
        <v>50.04</v>
      </c>
    </row>
    <row r="24" customFormat="false" ht="15" hidden="false" customHeight="true" outlineLevel="0" collapsed="false">
      <c r="A24" s="4" t="n">
        <v>2024</v>
      </c>
      <c r="B24" s="4" t="n">
        <v>12</v>
      </c>
      <c r="C24" s="4" t="s">
        <v>663</v>
      </c>
      <c r="D24" s="4" t="n">
        <v>13.88</v>
      </c>
      <c r="E24" s="4" t="n">
        <v>323.82</v>
      </c>
      <c r="F24" s="4" t="n">
        <v>11</v>
      </c>
      <c r="G24" s="4" t="n">
        <v>29.44</v>
      </c>
    </row>
    <row r="25" customFormat="false" ht="15" hidden="false" customHeight="true" outlineLevel="0" collapsed="false">
      <c r="A25" s="4" t="n">
        <v>2025</v>
      </c>
      <c r="B25" s="4" t="n">
        <v>1</v>
      </c>
      <c r="C25" s="4" t="s">
        <v>664</v>
      </c>
      <c r="D25" s="4" t="n">
        <v>18.17</v>
      </c>
      <c r="E25" s="4" t="n">
        <v>656.9</v>
      </c>
      <c r="F25" s="4" t="n">
        <v>13</v>
      </c>
      <c r="G25" s="4" t="n">
        <v>50.53</v>
      </c>
    </row>
    <row r="26" customFormat="false" ht="15" hidden="false" customHeight="true" outlineLevel="0" collapsed="false">
      <c r="A26" s="4" t="n">
        <v>2025</v>
      </c>
      <c r="B26" s="4" t="n">
        <v>2</v>
      </c>
      <c r="C26" s="4" t="s">
        <v>665</v>
      </c>
      <c r="D26" s="4" t="n">
        <v>17.44</v>
      </c>
      <c r="E26" s="4" t="n">
        <v>282.78</v>
      </c>
      <c r="F26" s="4" t="n">
        <v>8</v>
      </c>
      <c r="G26" s="4" t="n">
        <v>35.35</v>
      </c>
    </row>
    <row r="27" customFormat="false" ht="15" hidden="false" customHeight="true" outlineLevel="0" collapsed="false">
      <c r="A27" s="4" t="n">
        <v>2025</v>
      </c>
      <c r="B27" s="4" t="n">
        <v>3</v>
      </c>
      <c r="C27" s="4" t="s">
        <v>666</v>
      </c>
      <c r="D27" s="4" t="n">
        <v>14.66</v>
      </c>
      <c r="E27" s="4" t="n">
        <v>355.16</v>
      </c>
      <c r="F27" s="4" t="n">
        <v>10</v>
      </c>
      <c r="G27" s="4" t="n">
        <v>35.52</v>
      </c>
    </row>
    <row r="28" customFormat="false" ht="15" hidden="false" customHeight="true" outlineLevel="0" collapsed="false">
      <c r="A28" s="4" t="n">
        <v>2025</v>
      </c>
      <c r="B28" s="4" t="n">
        <v>4</v>
      </c>
      <c r="C28" s="4" t="s">
        <v>667</v>
      </c>
      <c r="D28" s="4" t="n">
        <v>15.31</v>
      </c>
      <c r="E28" s="4" t="n">
        <v>645.89</v>
      </c>
      <c r="F28" s="4" t="n">
        <v>12</v>
      </c>
      <c r="G28" s="4" t="n">
        <v>53.82</v>
      </c>
    </row>
    <row r="29" customFormat="false" ht="15" hidden="false" customHeight="true" outlineLevel="0" collapsed="false">
      <c r="A29" s="4" t="n">
        <v>2025</v>
      </c>
      <c r="B29" s="4" t="n">
        <v>5</v>
      </c>
      <c r="C29" s="4" t="s">
        <v>668</v>
      </c>
      <c r="D29" s="4" t="n">
        <v>17.03</v>
      </c>
      <c r="E29" s="4" t="n">
        <v>586.29</v>
      </c>
      <c r="F29" s="4" t="n">
        <v>13</v>
      </c>
      <c r="G29" s="4" t="n">
        <v>45.1</v>
      </c>
    </row>
    <row r="30" customFormat="false" ht="15" hidden="false" customHeight="true" outlineLevel="0" collapsed="false">
      <c r="A30" s="4" t="n">
        <v>2025</v>
      </c>
      <c r="B30" s="4" t="n">
        <v>6</v>
      </c>
      <c r="C30" s="4" t="s">
        <v>669</v>
      </c>
      <c r="D30" s="4" t="n">
        <v>20.36</v>
      </c>
      <c r="E30" s="4" t="n">
        <v>676.35</v>
      </c>
      <c r="F30" s="4" t="n">
        <v>13</v>
      </c>
      <c r="G30" s="4" t="n">
        <v>52.03</v>
      </c>
    </row>
    <row r="31" customFormat="false" ht="15" hidden="false" customHeight="true" outlineLevel="0" collapsed="false">
      <c r="A31" s="4" t="n">
        <v>2025</v>
      </c>
      <c r="B31" s="4" t="n">
        <v>7</v>
      </c>
      <c r="C31" s="4" t="s">
        <v>670</v>
      </c>
      <c r="D31" s="4" t="n">
        <v>17.74</v>
      </c>
      <c r="E31" s="4" t="n">
        <v>513.06</v>
      </c>
      <c r="F31" s="4" t="n">
        <v>9</v>
      </c>
      <c r="G31" s="4" t="n">
        <v>57.01</v>
      </c>
    </row>
    <row r="32" customFormat="false" ht="15" hidden="false" customHeight="true" outlineLevel="0" collapsed="false">
      <c r="A32" s="4" t="n">
        <v>2025</v>
      </c>
      <c r="B32" s="4" t="n">
        <v>8</v>
      </c>
      <c r="C32" s="4" t="s">
        <v>671</v>
      </c>
      <c r="D32" s="4" t="n">
        <v>19.59</v>
      </c>
      <c r="E32" s="4" t="n">
        <v>724.42</v>
      </c>
      <c r="F32" s="4" t="n">
        <v>13</v>
      </c>
      <c r="G32" s="4" t="n">
        <v>55.72</v>
      </c>
    </row>
    <row r="33" customFormat="false" ht="15" hidden="false" customHeight="true" outlineLevel="0" collapsed="false">
      <c r="A33" s="4" t="n">
        <v>2025</v>
      </c>
      <c r="B33" s="4" t="n">
        <v>9</v>
      </c>
      <c r="C33" s="4" t="s">
        <v>672</v>
      </c>
      <c r="D33" s="4" t="n">
        <v>21.87</v>
      </c>
      <c r="E33" s="4" t="n">
        <v>561.15</v>
      </c>
      <c r="F33" s="4" t="n">
        <v>11</v>
      </c>
      <c r="G33" s="4" t="n">
        <v>51.01</v>
      </c>
    </row>
    <row r="34" customFormat="false" ht="15" hidden="false" customHeight="true" outlineLevel="0" collapsed="false">
      <c r="A34" s="4" t="n">
        <v>2025</v>
      </c>
      <c r="B34" s="4" t="n">
        <v>10</v>
      </c>
      <c r="C34" s="4" t="s">
        <v>673</v>
      </c>
      <c r="D34" s="4" t="n">
        <v>22.85</v>
      </c>
      <c r="E34" s="4" t="n">
        <v>549.48</v>
      </c>
      <c r="F34" s="4" t="n">
        <v>9</v>
      </c>
      <c r="G34" s="4" t="n">
        <v>61.05</v>
      </c>
    </row>
    <row r="35" customFormat="false" ht="15" hidden="false" customHeight="true" outlineLevel="0" collapsed="false">
      <c r="A35" s="4" t="n">
        <v>2025</v>
      </c>
      <c r="B35" s="4" t="n">
        <v>11</v>
      </c>
      <c r="C35" s="4" t="s">
        <v>674</v>
      </c>
      <c r="D35" s="4" t="n">
        <v>18.79</v>
      </c>
      <c r="E35" s="4" t="n">
        <v>523.19</v>
      </c>
      <c r="F35" s="4" t="n">
        <v>8</v>
      </c>
      <c r="G35" s="4" t="n">
        <v>65.4</v>
      </c>
    </row>
    <row r="36" customFormat="false" ht="15" hidden="false" customHeight="true" outlineLevel="0" collapsed="false">
      <c r="A36" s="4" t="n">
        <v>2025</v>
      </c>
      <c r="B36" s="4" t="n">
        <v>12</v>
      </c>
      <c r="C36" s="4" t="s">
        <v>675</v>
      </c>
      <c r="D36" s="4" t="n">
        <v>19.58</v>
      </c>
      <c r="E36" s="4" t="n">
        <v>585.36</v>
      </c>
      <c r="F36" s="4" t="n">
        <v>9</v>
      </c>
      <c r="G36" s="4" t="n">
        <v>65.04</v>
      </c>
    </row>
    <row r="37" customFormat="false" ht="15" hidden="false" customHeight="true" outlineLevel="0" collapsed="false">
      <c r="A37" s="4" t="n">
        <v>2026</v>
      </c>
      <c r="B37" s="4" t="n">
        <v>1</v>
      </c>
      <c r="C37" s="4" t="s">
        <v>676</v>
      </c>
      <c r="D37" s="4" t="n">
        <v>21.41</v>
      </c>
      <c r="E37" s="4" t="n">
        <v>408.5</v>
      </c>
      <c r="F37" s="4" t="n">
        <v>8</v>
      </c>
      <c r="G37" s="4" t="n">
        <v>51.06</v>
      </c>
    </row>
    <row r="38" customFormat="false" ht="15" hidden="false" customHeight="true" outlineLevel="0" collapsed="false">
      <c r="A38" s="4" t="n">
        <v>2026</v>
      </c>
      <c r="B38" s="4" t="n">
        <v>2</v>
      </c>
      <c r="C38" s="4" t="s">
        <v>677</v>
      </c>
      <c r="D38" s="4" t="n">
        <v>22.76</v>
      </c>
      <c r="E38" s="4" t="n">
        <v>680.22</v>
      </c>
      <c r="F38" s="4" t="n">
        <v>11</v>
      </c>
      <c r="G38" s="4" t="n">
        <v>61.84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2026-02-23T20:24:02Z</dcterms:created>
  <dc:creator>openpyxl</dc:creator>
  <dc:description/>
  <dc:language>en-US</dc:language>
  <cp:lastModifiedBy/>
  <dcterms:modified xsi:type="dcterms:W3CDTF">2026-04-23T15:23:26Z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